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\\railtest.ru\Data\06-НТО\Documents\101 Разработка\102 Форматы файлов\"/>
    </mc:Choice>
  </mc:AlternateContent>
  <xr:revisionPtr revIDLastSave="0" documentId="13_ncr:1_{384C4C5A-DBFF-4D71-B5F3-AB514D28FC90}" xr6:coauthVersionLast="47" xr6:coauthVersionMax="47" xr10:uidLastSave="{00000000-0000-0000-0000-000000000000}"/>
  <bookViews>
    <workbookView xWindow="5340" yWindow="4665" windowWidth="21600" windowHeight="12735" firstSheet="7" activeTab="11" xr2:uid="{00000000-000D-0000-FFFF-FFFF00000000}"/>
  </bookViews>
  <sheets>
    <sheet name="Общая структура" sheetId="1" r:id="rId1"/>
    <sheet name="Форматы" sheetId="3" r:id="rId2"/>
    <sheet name="SensorIdentificationUdpPackage" sheetId="4" r:id="rId3"/>
    <sheet name="StatusUdpPackage" sheetId="5" r:id="rId4"/>
    <sheet name="AcceptStatusUdpPackage" sheetId="6" r:id="rId5"/>
    <sheet name="LogSensorUdpMessage" sheetId="7" r:id="rId6"/>
    <sheet name="TcpSensorDataMessage" sheetId="8" r:id="rId7"/>
    <sheet name="GeolocationPackage" sheetId="9" r:id="rId8"/>
    <sheet name="QuantumDataFile" sheetId="10" r:id="rId9"/>
    <sheet name="AdxlDataFile" sheetId="11" r:id="rId10"/>
    <sheet name="MtpDataFile" sheetId="12" r:id="rId11"/>
    <sheet name="NmeaDataFile" sheetId="13" r:id="rId12"/>
  </sheets>
  <definedNames>
    <definedName name="_xlnm.Print_Area" localSheetId="0">'Общая структура'!$A$1:$E$7</definedName>
    <definedName name="_xlnm.Print_Area" localSheetId="1">Таблица2[#All]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3" l="1"/>
  <c r="C14" i="12"/>
  <c r="C14" i="11"/>
  <c r="C14" i="10"/>
  <c r="C16" i="9"/>
  <c r="C19" i="5"/>
  <c r="C16" i="6"/>
</calcChain>
</file>

<file path=xl/sharedStrings.xml><?xml version="1.0" encoding="utf-8"?>
<sst xmlns="http://schemas.openxmlformats.org/spreadsheetml/2006/main" count="301" uniqueCount="168">
  <si>
    <t>№ п/п</t>
  </si>
  <si>
    <t>Смещение</t>
  </si>
  <si>
    <t>Размер</t>
  </si>
  <si>
    <t>Название</t>
  </si>
  <si>
    <t>Описание</t>
  </si>
  <si>
    <t>Общая сигнатура пакетов: строка "Aprn", числовое значение 0x6E727041</t>
  </si>
  <si>
    <t>Размер последующих данных в пакете. Общий размер пакета: Размер + 16 байт</t>
  </si>
  <si>
    <t>Signature</t>
  </si>
  <si>
    <t>Format</t>
  </si>
  <si>
    <t>Size</t>
  </si>
  <si>
    <t>Data</t>
  </si>
  <si>
    <t>Данные, структура которых зависит от поля Format</t>
  </si>
  <si>
    <t>Формат данных пакета</t>
  </si>
  <si>
    <t>Общая структура пакета</t>
  </si>
  <si>
    <t>Зарезервировано</t>
  </si>
  <si>
    <t>№ формата</t>
  </si>
  <si>
    <t>Unknown</t>
  </si>
  <si>
    <t>Псевдоним
(для enum)</t>
  </si>
  <si>
    <t>см. вкладку</t>
  </si>
  <si>
    <t>Служит для идентификации подключенных датчиков путем рассылки широковещательного запроса в сеть.</t>
  </si>
  <si>
    <t>Запрос посылается по протоколу UDP.</t>
  </si>
  <si>
    <t>Порт по-умолчанию: 49001</t>
  </si>
  <si>
    <t>Формат запроса:</t>
  </si>
  <si>
    <t>отсутствует</t>
  </si>
  <si>
    <t>Ответ:</t>
  </si>
  <si>
    <t>uint64_t Device Type</t>
  </si>
  <si>
    <t>uint32_t Device Serial Num</t>
  </si>
  <si>
    <r>
      <rPr>
        <b/>
        <i/>
        <sz val="11"/>
        <color theme="1"/>
        <rFont val="Calibri"/>
        <family val="2"/>
        <charset val="204"/>
        <scheme val="minor"/>
      </rPr>
      <t>Device Type</t>
    </r>
    <r>
      <rPr>
        <sz val="11"/>
        <color theme="1"/>
        <rFont val="Calibri"/>
        <family val="2"/>
        <scheme val="minor"/>
      </rPr>
      <t xml:space="preserve"> - идентификатор датчика, где:</t>
    </r>
  </si>
  <si>
    <r>
      <rPr>
        <b/>
        <i/>
        <sz val="11"/>
        <color theme="1"/>
        <rFont val="Calibri"/>
        <family val="2"/>
        <charset val="204"/>
        <scheme val="minor"/>
      </rPr>
      <t>Device Serial Num</t>
    </r>
    <r>
      <rPr>
        <sz val="11"/>
        <color theme="1"/>
        <rFont val="Calibri"/>
        <family val="2"/>
        <scheme val="minor"/>
      </rPr>
      <t xml:space="preserve"> - серийный номер устройства</t>
    </r>
  </si>
  <si>
    <r>
      <rPr>
        <b/>
        <sz val="11"/>
        <color theme="1"/>
        <rFont val="Calibri"/>
        <family val="2"/>
        <charset val="204"/>
        <scheme val="minor"/>
      </rPr>
      <t>0xA0A0A0A0A0A0A0A0</t>
    </r>
    <r>
      <rPr>
        <sz val="11"/>
        <color theme="1"/>
        <rFont val="Calibri"/>
        <family val="2"/>
        <scheme val="minor"/>
      </rPr>
      <t xml:space="preserve"> - TEST_PROGRAM</t>
    </r>
  </si>
  <si>
    <r>
      <rPr>
        <b/>
        <sz val="11"/>
        <color theme="1"/>
        <rFont val="Calibri"/>
        <family val="2"/>
        <charset val="204"/>
        <scheme val="minor"/>
      </rPr>
      <t>0x842E783B54D5AA4C</t>
    </r>
    <r>
      <rPr>
        <sz val="11"/>
        <color theme="1"/>
        <rFont val="Calibri"/>
        <family val="2"/>
        <scheme val="minor"/>
      </rPr>
      <t xml:space="preserve"> - ADXL357</t>
    </r>
  </si>
  <si>
    <r>
      <rPr>
        <b/>
        <sz val="11"/>
        <color theme="1"/>
        <rFont val="Calibri"/>
        <family val="2"/>
        <charset val="204"/>
        <scheme val="minor"/>
      </rPr>
      <t>0xA2758EE46E4B43CF</t>
    </r>
    <r>
      <rPr>
        <sz val="11"/>
        <color theme="1"/>
        <rFont val="Calibri"/>
        <family val="2"/>
        <scheme val="minor"/>
      </rPr>
      <t xml:space="preserve"> - AD7730</t>
    </r>
  </si>
  <si>
    <r>
      <t xml:space="preserve">В качестве серийного номера использовать шестнадцатиричное представление данного числа (строка 8 символов), например </t>
    </r>
    <r>
      <rPr>
        <b/>
        <sz val="11"/>
        <color theme="1"/>
        <rFont val="Calibri"/>
        <family val="2"/>
        <charset val="204"/>
        <scheme val="minor"/>
      </rPr>
      <t>006DCC6F</t>
    </r>
  </si>
  <si>
    <t>StatusUdpPackage</t>
  </si>
  <si>
    <t>Служит для получения состояния регистратора.</t>
  </si>
  <si>
    <t xml:space="preserve">Идентификатор регистратора </t>
  </si>
  <si>
    <t>Широта</t>
  </si>
  <si>
    <t>Долгота</t>
  </si>
  <si>
    <t xml:space="preserve">Скорость </t>
  </si>
  <si>
    <t>Идентикатор аппаратуры (mac адрес или иное)</t>
  </si>
  <si>
    <t>Размер, байт</t>
  </si>
  <si>
    <t>Флаги службы диагностики.</t>
  </si>
  <si>
    <t>AcceptStatusUdpPackage</t>
  </si>
  <si>
    <t>Поле</t>
  </si>
  <si>
    <t>Наименование</t>
  </si>
  <si>
    <t>Тип данных</t>
  </si>
  <si>
    <t>uint64_t</t>
  </si>
  <si>
    <t>double</t>
  </si>
  <si>
    <t>float</t>
  </si>
  <si>
    <t>uin32_t</t>
  </si>
  <si>
    <t>Версия = 0x01</t>
  </si>
  <si>
    <t>Маска бита</t>
  </si>
  <si>
    <t>True - RealTime значение пакета, False - история.</t>
  </si>
  <si>
    <t>0x00000001</t>
  </si>
  <si>
    <t>0x00000002</t>
  </si>
  <si>
    <t>Время запуска компьютера (Unix timestamp)</t>
  </si>
  <si>
    <t>Время создания пакета  (Unix timestamp)</t>
  </si>
  <si>
    <t>Идентификатор пакета. (последовательное число)</t>
  </si>
  <si>
    <t>Флаги пакета</t>
  </si>
  <si>
    <t>Флаги пакета:</t>
  </si>
  <si>
    <t>True - поля данных геолокации достоверные</t>
  </si>
  <si>
    <t>Флаги службы</t>
  </si>
  <si>
    <t>диагностики.</t>
  </si>
  <si>
    <t>True - не все сервисы запущены</t>
  </si>
  <si>
    <t>True - зафиксирована высокая загрузка CPU</t>
  </si>
  <si>
    <t>True - зафиксирована больше потребление RAM</t>
  </si>
  <si>
    <t>0x00000004</t>
  </si>
  <si>
    <t>0x00000008</t>
  </si>
  <si>
    <t>0x00000010</t>
  </si>
  <si>
    <t>0x00000020</t>
  </si>
  <si>
    <t>0x00000040</t>
  </si>
  <si>
    <t>True - зафиксировано отсутствие датчика</t>
  </si>
  <si>
    <t>True - зафиксирован сбой устройства связи</t>
  </si>
  <si>
    <t>True - низкое качество сигнала связи</t>
  </si>
  <si>
    <t>0x00000100</t>
  </si>
  <si>
    <t>0x00000200</t>
  </si>
  <si>
    <t xml:space="preserve">True - зафиксирована превышение порога  температура </t>
  </si>
  <si>
    <t>True - зафиксирован сбой линий питания</t>
  </si>
  <si>
    <t>True - зафиксирован сбой одного из сервисов.</t>
  </si>
  <si>
    <t xml:space="preserve">Служит для подтверждение приема StatusUdpPackage </t>
  </si>
  <si>
    <t>Примечание</t>
  </si>
  <si>
    <t xml:space="preserve">При сохранении истории поля: время создания пакета и идентификатор пакета не меняются, история дублирует RealTime пакет. </t>
  </si>
  <si>
    <r>
      <t xml:space="preserve">Запрос посылается по протоколу UDP на порт сервера </t>
    </r>
    <r>
      <rPr>
        <b/>
        <sz val="11"/>
        <color theme="1"/>
        <rFont val="Calibri"/>
        <family val="2"/>
        <charset val="204"/>
        <scheme val="minor"/>
      </rPr>
      <t>49049</t>
    </r>
  </si>
  <si>
    <t>Идентификатор пакета  из StatusUdpPackage.</t>
  </si>
  <si>
    <t>Время запуска компьютера (Unix timestamp) из StatusUdpPackage.</t>
  </si>
  <si>
    <t>Время создания пакета  (Unix timestamp) из StatusUdpPackage.</t>
  </si>
  <si>
    <t>Идентификатор регистратора из StatusUdpPackage.</t>
  </si>
  <si>
    <t>uint32_t</t>
  </si>
  <si>
    <t>Служит для отправки датчиком на сервер сообщений внутреннего логгера</t>
  </si>
  <si>
    <t>Данные посылаются по протоколу UDP.</t>
  </si>
  <si>
    <t>Порт по-умолчанию: 49002</t>
  </si>
  <si>
    <t>Формат сообщения:</t>
  </si>
  <si>
    <t>Текстовое сообщение сервиса логгирования</t>
  </si>
  <si>
    <r>
      <rPr>
        <b/>
        <i/>
        <sz val="11"/>
        <color theme="1"/>
        <rFont val="Calibri"/>
        <family val="2"/>
        <charset val="204"/>
        <scheme val="minor"/>
      </rPr>
      <t>Device Serial Num</t>
    </r>
    <r>
      <rPr>
        <sz val="11"/>
        <color theme="1"/>
        <rFont val="Calibri"/>
        <family val="2"/>
        <scheme val="minor"/>
      </rPr>
      <t xml:space="preserve"> - серийный номер устройства</t>
    </r>
    <r>
      <rPr>
        <sz val="11"/>
        <color theme="1"/>
        <rFont val="Calibri"/>
        <family val="2"/>
        <charset val="204"/>
        <scheme val="minor"/>
      </rPr>
      <t>, от которого получено сообщение</t>
    </r>
  </si>
  <si>
    <t>TcpSensorDataMessage</t>
  </si>
  <si>
    <t>LogSensorUdpMessage</t>
  </si>
  <si>
    <t>SensorIdentificationUdpPackage</t>
  </si>
  <si>
    <t>Служит для отправки датчиком на сервер измеренных данных</t>
  </si>
  <si>
    <t>Данные посылаются по протоколу TCP.</t>
  </si>
  <si>
    <t>Порт для отправки по-умолчанию: 49003</t>
  </si>
  <si>
    <t>Описание данных</t>
  </si>
  <si>
    <t>Д      а     н      н      ы      е</t>
  </si>
  <si>
    <r>
      <t>N</t>
    </r>
    <r>
      <rPr>
        <vertAlign val="subscript"/>
        <sz val="11"/>
        <color theme="1"/>
        <rFont val="Calibri"/>
        <family val="2"/>
        <charset val="204"/>
        <scheme val="minor"/>
      </rPr>
      <t>ch</t>
    </r>
  </si>
  <si>
    <t>LENGTH</t>
  </si>
  <si>
    <t>8 байт</t>
  </si>
  <si>
    <t>4 байта</t>
  </si>
  <si>
    <t>◦</t>
  </si>
  <si>
    <r>
      <t xml:space="preserve">Т, </t>
    </r>
    <r>
      <rPr>
        <sz val="11"/>
        <color theme="1"/>
        <rFont val="Calibri"/>
        <family val="2"/>
        <charset val="204"/>
      </rPr>
      <t>°C</t>
    </r>
  </si>
  <si>
    <t>…</t>
  </si>
  <si>
    <t>CH_N_1</t>
  </si>
  <si>
    <t>CH1_1</t>
  </si>
  <si>
    <t>CH2_1</t>
  </si>
  <si>
    <t>CH1_M</t>
  </si>
  <si>
    <t>CH2_M</t>
  </si>
  <si>
    <t>CH_N_M</t>
  </si>
  <si>
    <t>V_REF</t>
  </si>
  <si>
    <t>4 байта (float)</t>
  </si>
  <si>
    <t>мВ</t>
  </si>
  <si>
    <t>Temp2</t>
  </si>
  <si>
    <t>Temp1</t>
  </si>
  <si>
    <t>int64_t</t>
  </si>
  <si>
    <t>Time-маркер</t>
  </si>
  <si>
    <t>seconds</t>
  </si>
  <si>
    <t>nanoseconds</t>
  </si>
  <si>
    <t>Sync</t>
  </si>
  <si>
    <t>uint8_t</t>
  </si>
  <si>
    <t>1 байт</t>
  </si>
  <si>
    <t>status</t>
  </si>
  <si>
    <t>SysMonitor</t>
  </si>
  <si>
    <t>Serial Num</t>
  </si>
  <si>
    <t>Серийный номер датчика</t>
  </si>
  <si>
    <r>
      <t xml:space="preserve">В качестве серийного номера для вывода пользователю использовать шестнадцатиричное представление данного числа (строка 8 символов), например </t>
    </r>
    <r>
      <rPr>
        <b/>
        <sz val="11"/>
        <color theme="1"/>
        <rFont val="Calibri"/>
        <family val="2"/>
        <charset val="204"/>
        <scheme val="minor"/>
      </rPr>
      <t>006DCC6F</t>
    </r>
  </si>
  <si>
    <r>
      <rPr>
        <b/>
        <sz val="12"/>
        <color theme="1"/>
        <rFont val="Calibri"/>
        <family val="2"/>
        <charset val="204"/>
        <scheme val="minor"/>
      </rPr>
      <t>Описание данных</t>
    </r>
    <r>
      <rPr>
        <sz val="11"/>
        <color theme="1"/>
        <rFont val="Calibri"/>
        <family val="2"/>
        <scheme val="minor"/>
      </rPr>
      <t>.  N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ch </t>
    </r>
    <r>
      <rPr>
        <sz val="11"/>
        <color theme="1"/>
        <rFont val="Calibri"/>
        <family val="2"/>
        <scheme val="minor"/>
      </rPr>
      <t>1 байт - количество каналов, по которым передается информация, LENGTH 3 байта - количество передаваемых данных для каждого канала.</t>
    </r>
  </si>
  <si>
    <r>
      <rPr>
        <b/>
        <i/>
        <sz val="12"/>
        <color theme="1"/>
        <rFont val="Calibri"/>
        <family val="2"/>
        <charset val="204"/>
        <scheme val="minor"/>
      </rPr>
      <t>Serial Num</t>
    </r>
    <r>
      <rPr>
        <sz val="11"/>
        <color theme="1"/>
        <rFont val="Calibri"/>
        <family val="2"/>
        <scheme val="minor"/>
      </rPr>
      <t xml:space="preserve"> - серийный номер устройства</t>
    </r>
  </si>
  <si>
    <r>
      <rPr>
        <b/>
        <sz val="12"/>
        <color theme="1"/>
        <rFont val="Calibri"/>
        <family val="2"/>
        <charset val="204"/>
        <scheme val="minor"/>
      </rPr>
      <t>Sync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scheme val="minor"/>
      </rPr>
      <t>- флаг, указывающий на достоверность тайм-маркера. 1- данные достоверны, 0 - датчик не синхронизирован в сервером времени.</t>
    </r>
  </si>
  <si>
    <r>
      <rPr>
        <b/>
        <sz val="12"/>
        <color theme="1"/>
        <rFont val="Calibri"/>
        <family val="2"/>
        <charset val="204"/>
        <scheme val="minor"/>
      </rPr>
      <t>Time-маркер</t>
    </r>
    <r>
      <rPr>
        <sz val="11"/>
        <color theme="1"/>
        <rFont val="Calibri"/>
        <family val="2"/>
        <scheme val="minor"/>
      </rPr>
      <t xml:space="preserve"> - Штамп времени начала блока данных. О</t>
    </r>
    <r>
      <rPr>
        <sz val="11"/>
        <color theme="1"/>
        <rFont val="Calibri"/>
        <family val="2"/>
        <charset val="204"/>
        <scheme val="minor"/>
      </rPr>
      <t>писывает время в секундах и наносекундах и включает следующие элементы: количество секунд, начиная с 1970 года, количество наносекунд</t>
    </r>
  </si>
  <si>
    <r>
      <rPr>
        <b/>
        <sz val="12"/>
        <color theme="1"/>
        <rFont val="Calibri"/>
        <family val="2"/>
        <charset val="204"/>
        <scheme val="minor"/>
      </rPr>
      <t>Temp1</t>
    </r>
    <r>
      <rPr>
        <sz val="11"/>
        <color theme="1"/>
        <rFont val="Calibri"/>
        <family val="2"/>
        <scheme val="minor"/>
      </rPr>
      <t xml:space="preserve"> - температура микроконтроллера</t>
    </r>
  </si>
  <si>
    <r>
      <rPr>
        <b/>
        <sz val="12"/>
        <color theme="1"/>
        <rFont val="Calibri"/>
        <family val="2"/>
        <charset val="204"/>
        <scheme val="minor"/>
      </rPr>
      <t>Temp2</t>
    </r>
    <r>
      <rPr>
        <sz val="11"/>
        <color theme="1"/>
        <rFont val="Calibri"/>
        <family val="2"/>
        <scheme val="minor"/>
      </rPr>
      <t xml:space="preserve"> - температура датчика (может отсутствовать). Если у датчика нет показаний температуры, содержит значение -273,15</t>
    </r>
  </si>
  <si>
    <r>
      <rPr>
        <b/>
        <sz val="12"/>
        <color theme="1"/>
        <rFont val="Calibri"/>
        <family val="2"/>
        <charset val="204"/>
        <scheme val="minor"/>
      </rPr>
      <t>V_REF</t>
    </r>
    <r>
      <rPr>
        <sz val="11"/>
        <color theme="1"/>
        <rFont val="Calibri"/>
        <family val="2"/>
        <scheme val="minor"/>
      </rPr>
      <t xml:space="preserve"> - напряжение питания микроконтроллера в мВ.</t>
    </r>
  </si>
  <si>
    <r>
      <rPr>
        <b/>
        <sz val="12"/>
        <color theme="1"/>
        <rFont val="Calibri"/>
        <family val="2"/>
        <charset val="204"/>
        <scheme val="minor"/>
      </rPr>
      <t>Данные</t>
    </r>
    <r>
      <rPr>
        <sz val="11"/>
        <color theme="1"/>
        <rFont val="Calibri"/>
        <family val="2"/>
        <scheme val="minor"/>
      </rPr>
      <t xml:space="preserve"> - представляет из себя массив 4-х байтовых чисел длиной Nch*LENGTH</t>
    </r>
  </si>
  <si>
    <t>M - количество отсчетов по каждому каналу (по-умолчанию равно 50)</t>
  </si>
  <si>
    <t>N - количество каналов</t>
  </si>
  <si>
    <t>GeolocationPackage</t>
  </si>
  <si>
    <t>Скорость</t>
  </si>
  <si>
    <t>Служет для внутренней пересылки из TeltonikaService в GlobalIdentifier</t>
  </si>
  <si>
    <t>Формат данных:</t>
  </si>
  <si>
    <t>Номер канала( сообщает quantum)</t>
  </si>
  <si>
    <t>Время измерения ( расчитанное)</t>
  </si>
  <si>
    <t>Значение</t>
  </si>
  <si>
    <t>Формат пакета - формат сохраненных файлов.</t>
  </si>
  <si>
    <t>Количество серий данных в одном пакете = size(из заголовка) / 24</t>
  </si>
  <si>
    <t>Следующая точка данных</t>
  </si>
  <si>
    <t>PointSize</t>
  </si>
  <si>
    <t>Следующая точка данных  и т.д. до исчерпания пкета</t>
  </si>
  <si>
    <t>Point</t>
  </si>
  <si>
    <t>QuantumDataFile</t>
  </si>
  <si>
    <t>AdxlDataFile</t>
  </si>
  <si>
    <t>MtpDataFile</t>
  </si>
  <si>
    <t>NmeaDataFile</t>
  </si>
  <si>
    <t>AdxlPackage</t>
  </si>
  <si>
    <t>Пакет датчика передоваемого по Tcp/IP</t>
  </si>
  <si>
    <t>Количество серий данных в одном пакете = size(из заголовка)/ PackageSize</t>
  </si>
  <si>
    <t>Следующий пакет</t>
  </si>
  <si>
    <t>Следующий пакет и т.д. до исчерпания файла</t>
  </si>
  <si>
    <t>MtpPackage</t>
  </si>
  <si>
    <t>Строка данных Nmea завершаемая символом перевода строки</t>
  </si>
  <si>
    <t>Стока данных</t>
  </si>
  <si>
    <t>Строка данных и т.д. до исчерпания файла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</si>
</sst>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i/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2" borderId="0" applyNumberFormat="0" applyBorder="0" applyAlignment="0" applyProtection="0"/>
    <xf numFmtId="0" fontId="6" fillId="0" borderId="0"/>
  </cellStyleXfs>
  <cellXfs count="11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vertical="center"/>
    </xf>
    <xf numFmtId="1" fontId="0" fillId="0" borderId="6" xfId="0" applyNumberFormat="1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5" fillId="0" borderId="9" xfId="0" applyFont="1" applyBorder="1"/>
    <xf numFmtId="0" fontId="0" fillId="0" borderId="10" xfId="0" applyBorder="1"/>
    <xf numFmtId="0" fontId="0" fillId="0" borderId="11" xfId="0" applyBorder="1" applyAlignment="1">
      <alignment horizontal="left"/>
    </xf>
    <xf numFmtId="0" fontId="0" fillId="0" borderId="12" xfId="0" applyBorder="1"/>
    <xf numFmtId="1" fontId="0" fillId="0" borderId="13" xfId="0" applyNumberFormat="1" applyBorder="1" applyAlignment="1">
      <alignment horizontal="left"/>
    </xf>
    <xf numFmtId="1" fontId="0" fillId="0" borderId="14" xfId="0" applyNumberFormat="1" applyBorder="1" applyAlignment="1">
      <alignment horizontal="left"/>
    </xf>
    <xf numFmtId="1" fontId="0" fillId="0" borderId="14" xfId="0" applyNumberFormat="1" applyBorder="1" applyAlignment="1">
      <alignment horizontal="left" vertical="center"/>
    </xf>
    <xf numFmtId="1" fontId="0" fillId="0" borderId="15" xfId="0" applyNumberFormat="1" applyBorder="1" applyAlignment="1">
      <alignment horizontal="left"/>
    </xf>
    <xf numFmtId="1" fontId="0" fillId="0" borderId="5" xfId="0" applyNumberFormat="1" applyBorder="1" applyAlignment="1">
      <alignment horizontal="left"/>
    </xf>
    <xf numFmtId="1" fontId="0" fillId="0" borderId="8" xfId="0" applyNumberFormat="1" applyBorder="1" applyAlignment="1">
      <alignment horizontal="left"/>
    </xf>
    <xf numFmtId="1" fontId="0" fillId="0" borderId="16" xfId="0" applyNumberFormat="1" applyBorder="1" applyAlignment="1">
      <alignment horizontal="left"/>
    </xf>
    <xf numFmtId="0" fontId="4" fillId="0" borderId="0" xfId="0" applyFont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 vertical="center"/>
    </xf>
    <xf numFmtId="0" fontId="0" fillId="0" borderId="11" xfId="0" applyBorder="1"/>
    <xf numFmtId="0" fontId="0" fillId="0" borderId="19" xfId="0" applyBorder="1"/>
    <xf numFmtId="0" fontId="0" fillId="0" borderId="21" xfId="0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0" fontId="3" fillId="0" borderId="0" xfId="0" applyFont="1"/>
    <xf numFmtId="0" fontId="0" fillId="4" borderId="0" xfId="0" applyFill="1"/>
    <xf numFmtId="0" fontId="0" fillId="7" borderId="31" xfId="0" applyFill="1" applyBorder="1"/>
    <xf numFmtId="0" fontId="0" fillId="7" borderId="0" xfId="0" applyFill="1"/>
    <xf numFmtId="0" fontId="11" fillId="7" borderId="0" xfId="0" applyFont="1" applyFill="1" applyAlignment="1">
      <alignment horizontal="center"/>
    </xf>
    <xf numFmtId="0" fontId="0" fillId="7" borderId="30" xfId="0" applyFill="1" applyBorder="1"/>
    <xf numFmtId="0" fontId="0" fillId="7" borderId="32" xfId="0" applyFill="1" applyBorder="1"/>
    <xf numFmtId="0" fontId="2" fillId="0" borderId="0" xfId="0" applyFont="1"/>
    <xf numFmtId="0" fontId="0" fillId="3" borderId="0" xfId="0" applyFill="1"/>
    <xf numFmtId="0" fontId="2" fillId="3" borderId="0" xfId="0" applyFont="1" applyFill="1"/>
    <xf numFmtId="0" fontId="9" fillId="10" borderId="24" xfId="0" applyFont="1" applyFill="1" applyBorder="1" applyAlignment="1">
      <alignment horizontal="center" vertical="center"/>
    </xf>
    <xf numFmtId="0" fontId="0" fillId="10" borderId="24" xfId="0" applyFill="1" applyBorder="1" applyAlignment="1">
      <alignment horizontal="center"/>
    </xf>
    <xf numFmtId="0" fontId="0" fillId="10" borderId="28" xfId="0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0" fontId="2" fillId="4" borderId="0" xfId="0" applyFont="1" applyFill="1"/>
    <xf numFmtId="0" fontId="0" fillId="0" borderId="0" xfId="0" applyAlignment="1">
      <alignment horizontal="left" vertical="top" wrapText="1"/>
    </xf>
    <xf numFmtId="0" fontId="0" fillId="0" borderId="1" xfId="0" applyBorder="1"/>
    <xf numFmtId="0" fontId="8" fillId="2" borderId="0" xfId="1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3" fillId="8" borderId="30" xfId="0" applyFont="1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164" fontId="12" fillId="6" borderId="14" xfId="0" applyNumberFormat="1" applyFont="1" applyFill="1" applyBorder="1" applyAlignment="1">
      <alignment horizontal="center" vertical="center"/>
    </xf>
    <xf numFmtId="164" fontId="12" fillId="6" borderId="24" xfId="0" applyNumberFormat="1" applyFont="1" applyFill="1" applyBorder="1" applyAlignment="1">
      <alignment horizontal="center" vertical="center"/>
    </xf>
    <xf numFmtId="164" fontId="12" fillId="6" borderId="25" xfId="0" applyNumberFormat="1" applyFont="1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13" fillId="7" borderId="31" xfId="0" applyFont="1" applyFill="1" applyBorder="1" applyAlignment="1">
      <alignment horizontal="center" vertical="center"/>
    </xf>
    <xf numFmtId="0" fontId="0" fillId="7" borderId="31" xfId="0" applyFill="1" applyBorder="1"/>
    <xf numFmtId="0" fontId="0" fillId="6" borderId="14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17" fillId="7" borderId="24" xfId="0" applyFont="1" applyFill="1" applyBorder="1" applyAlignment="1">
      <alignment horizontal="center" vertical="center"/>
    </xf>
    <xf numFmtId="0" fontId="17" fillId="7" borderId="25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16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16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</cellXfs>
  <cellStyles count="3">
    <cellStyle name="Акцент1" xfId="1" builtinId="29"/>
    <cellStyle name="Обычный" xfId="0" builtinId="0"/>
    <cellStyle name="Обычный 2" xfId="2" xr:uid="{9D528CA4-2095-4056-AF89-FF37A12CB5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745BED-61B1-499C-B11D-04EDED394033}" name="Таблица1" displayName="Таблица1" ref="A2:E6" totalsRowShown="0">
  <autoFilter ref="A2:E6" xr:uid="{63745BED-61B1-499C-B11D-04EDED39403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A88B753-1ADC-426B-BDCD-13075F7BC862}" name="№ п/п"/>
    <tableColumn id="2" xr3:uid="{CF71625B-DD94-4939-B902-992B6FCBA386}" name="Название"/>
    <tableColumn id="3" xr3:uid="{D39EFCA9-63EA-4934-81C1-4B199170A574}" name="Смещение"/>
    <tableColumn id="4" xr3:uid="{AD155EEB-FA8B-4111-BE06-A6CE18367289}" name="Размер"/>
    <tableColumn id="5" xr3:uid="{B2F495B7-8980-4BBF-B9F2-6DE8FBC60305}" name="Описани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529938-2D8B-49E7-96B5-9C0C357EB48C}" name="Таблица2" displayName="Таблица2" ref="A1:C12" totalsRowShown="0">
  <autoFilter ref="A1:C12" xr:uid="{D2529938-2D8B-49E7-96B5-9C0C357EB48C}">
    <filterColumn colId="0" hiddenButton="1"/>
    <filterColumn colId="1" hiddenButton="1"/>
    <filterColumn colId="2" hiddenButton="1"/>
  </autoFilter>
  <tableColumns count="3">
    <tableColumn id="1" xr3:uid="{34A7D493-17CE-4F75-AE3F-8BDD6D351BED}" name="№ формата"/>
    <tableColumn id="2" xr3:uid="{3E002829-CA28-4613-BCA1-2427235E8E61}" name="Псевдоним_x000a_(для enum)"/>
    <tableColumn id="3" xr3:uid="{4E3BD58E-2C27-46AE-9D88-201C701D817A}" name="Опис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"/>
  <sheetViews>
    <sheetView workbookViewId="0">
      <selection activeCell="A7" sqref="A7"/>
    </sheetView>
  </sheetViews>
  <sheetFormatPr defaultRowHeight="15" x14ac:dyDescent="0.25"/>
  <cols>
    <col min="2" max="2" width="9.5703125" bestFit="1" customWidth="1"/>
    <col min="3" max="3" width="16.140625" customWidth="1"/>
    <col min="4" max="4" width="13.5703125" customWidth="1"/>
    <col min="5" max="5" width="76" bestFit="1" customWidth="1"/>
  </cols>
  <sheetData>
    <row r="1" spans="1:5" ht="18.75" x14ac:dyDescent="0.3">
      <c r="A1" s="51" t="s">
        <v>13</v>
      </c>
      <c r="B1" s="51"/>
      <c r="C1" s="51"/>
      <c r="D1" s="51"/>
      <c r="E1" s="51"/>
    </row>
    <row r="2" spans="1:5" x14ac:dyDescent="0.25">
      <c r="A2" t="s">
        <v>0</v>
      </c>
      <c r="B2" t="s">
        <v>3</v>
      </c>
      <c r="C2" t="s">
        <v>1</v>
      </c>
      <c r="D2" t="s">
        <v>2</v>
      </c>
      <c r="E2" t="s">
        <v>4</v>
      </c>
    </row>
    <row r="3" spans="1:5" x14ac:dyDescent="0.25">
      <c r="A3">
        <v>1</v>
      </c>
      <c r="B3" t="s">
        <v>7</v>
      </c>
      <c r="C3">
        <v>0</v>
      </c>
      <c r="D3">
        <v>4</v>
      </c>
      <c r="E3" t="s">
        <v>5</v>
      </c>
    </row>
    <row r="4" spans="1:5" x14ac:dyDescent="0.25">
      <c r="A4">
        <v>2</v>
      </c>
      <c r="B4" t="s">
        <v>8</v>
      </c>
      <c r="C4">
        <v>4</v>
      </c>
      <c r="D4">
        <v>4</v>
      </c>
      <c r="E4" t="s">
        <v>12</v>
      </c>
    </row>
    <row r="5" spans="1:5" x14ac:dyDescent="0.25">
      <c r="A5">
        <v>3</v>
      </c>
      <c r="B5" t="s">
        <v>9</v>
      </c>
      <c r="C5">
        <v>8</v>
      </c>
      <c r="D5">
        <v>8</v>
      </c>
      <c r="E5" t="s">
        <v>6</v>
      </c>
    </row>
    <row r="6" spans="1:5" x14ac:dyDescent="0.25">
      <c r="A6">
        <v>4</v>
      </c>
      <c r="B6" t="s">
        <v>10</v>
      </c>
      <c r="C6">
        <v>16</v>
      </c>
      <c r="D6" t="s">
        <v>9</v>
      </c>
      <c r="E6" t="s">
        <v>11</v>
      </c>
    </row>
  </sheetData>
  <mergeCells count="1">
    <mergeCell ref="A1:E1"/>
  </mergeCells>
  <pageMargins left="0.7" right="0.7" top="0.75" bottom="0.75" header="0.3" footer="0.3"/>
  <pageSetup paperSize="9" scale="7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9396-4B04-446A-A2AD-AA044BF7BCA0}">
  <sheetPr>
    <pageSetUpPr fitToPage="1"/>
  </sheetPr>
  <dimension ref="A1:C12"/>
  <sheetViews>
    <sheetView workbookViewId="0">
      <selection activeCell="B13" sqref="B13"/>
    </sheetView>
  </sheetViews>
  <sheetFormatPr defaultRowHeight="15" x14ac:dyDescent="0.25"/>
  <cols>
    <col min="1" max="1" width="11.85546875" bestFit="1" customWidth="1"/>
    <col min="2" max="2" width="26.140625" customWidth="1"/>
    <col min="3" max="3" width="21.42578125" bestFit="1" customWidth="1"/>
  </cols>
  <sheetData>
    <row r="1" spans="1:3" ht="30" x14ac:dyDescent="0.25">
      <c r="A1" t="s">
        <v>15</v>
      </c>
      <c r="B1" s="1" t="s">
        <v>17</v>
      </c>
      <c r="C1" t="s">
        <v>4</v>
      </c>
    </row>
    <row r="2" spans="1:3" x14ac:dyDescent="0.25">
      <c r="A2">
        <v>0</v>
      </c>
      <c r="B2" t="s">
        <v>16</v>
      </c>
      <c r="C2" t="s">
        <v>14</v>
      </c>
    </row>
    <row r="3" spans="1:3" x14ac:dyDescent="0.25">
      <c r="A3">
        <v>1</v>
      </c>
      <c r="B3" t="s">
        <v>96</v>
      </c>
      <c r="C3" t="s">
        <v>18</v>
      </c>
    </row>
    <row r="4" spans="1:3" x14ac:dyDescent="0.25">
      <c r="A4">
        <v>2</v>
      </c>
      <c r="B4" t="s">
        <v>33</v>
      </c>
      <c r="C4" t="s">
        <v>18</v>
      </c>
    </row>
    <row r="5" spans="1:3" x14ac:dyDescent="0.25">
      <c r="A5">
        <v>3</v>
      </c>
      <c r="B5" t="s">
        <v>42</v>
      </c>
      <c r="C5" t="s">
        <v>18</v>
      </c>
    </row>
    <row r="6" spans="1:3" x14ac:dyDescent="0.25">
      <c r="A6">
        <v>4</v>
      </c>
      <c r="B6" t="s">
        <v>95</v>
      </c>
      <c r="C6" t="s">
        <v>18</v>
      </c>
    </row>
    <row r="7" spans="1:3" x14ac:dyDescent="0.25">
      <c r="A7">
        <v>5</v>
      </c>
      <c r="B7" t="s">
        <v>94</v>
      </c>
      <c r="C7" t="s">
        <v>18</v>
      </c>
    </row>
    <row r="8" spans="1:3" x14ac:dyDescent="0.25">
      <c r="A8">
        <v>6</v>
      </c>
      <c r="B8" t="s">
        <v>142</v>
      </c>
      <c r="C8" t="s">
        <v>18</v>
      </c>
    </row>
    <row r="9" spans="1:3" x14ac:dyDescent="0.25">
      <c r="A9">
        <v>7</v>
      </c>
      <c r="B9" t="s">
        <v>155</v>
      </c>
      <c r="C9" t="s">
        <v>18</v>
      </c>
    </row>
    <row r="10" spans="1:3" x14ac:dyDescent="0.25">
      <c r="A10">
        <v>8</v>
      </c>
      <c r="B10" t="s">
        <v>156</v>
      </c>
      <c r="C10" t="s">
        <v>18</v>
      </c>
    </row>
    <row r="11" spans="1:3" x14ac:dyDescent="0.25">
      <c r="A11">
        <v>9</v>
      </c>
      <c r="B11" t="s">
        <v>157</v>
      </c>
      <c r="C11" t="s">
        <v>18</v>
      </c>
    </row>
    <row r="12" spans="1:3" x14ac:dyDescent="0.25">
      <c r="A12">
        <v>10</v>
      </c>
      <c r="B12" t="s">
        <v>158</v>
      </c>
      <c r="C12" t="s">
        <v>18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727C-5C83-4F16-AEC6-712CF1E56D9B}">
  <dimension ref="A1:M20"/>
  <sheetViews>
    <sheetView workbookViewId="0">
      <selection activeCell="A19" sqref="A19:N20"/>
    </sheetView>
  </sheetViews>
  <sheetFormatPr defaultRowHeight="15" x14ac:dyDescent="0.25"/>
  <cols>
    <col min="3" max="3" width="9.140625" customWidth="1"/>
  </cols>
  <sheetData>
    <row r="1" spans="1:13" x14ac:dyDescent="0.25">
      <c r="A1" t="s">
        <v>19</v>
      </c>
    </row>
    <row r="2" spans="1:13" x14ac:dyDescent="0.25">
      <c r="A2" t="s">
        <v>20</v>
      </c>
    </row>
    <row r="3" spans="1:13" x14ac:dyDescent="0.25">
      <c r="A3" t="s">
        <v>21</v>
      </c>
    </row>
    <row r="5" spans="1:13" x14ac:dyDescent="0.25">
      <c r="A5" t="s">
        <v>22</v>
      </c>
    </row>
    <row r="6" spans="1:13" x14ac:dyDescent="0.25">
      <c r="A6" t="s">
        <v>9</v>
      </c>
      <c r="B6" s="3">
        <v>0</v>
      </c>
    </row>
    <row r="7" spans="1:13" x14ac:dyDescent="0.25">
      <c r="A7" t="s">
        <v>10</v>
      </c>
      <c r="B7" s="4" t="s">
        <v>23</v>
      </c>
    </row>
    <row r="9" spans="1:13" ht="15.75" thickBot="1" x14ac:dyDescent="0.3">
      <c r="A9" t="s">
        <v>24</v>
      </c>
    </row>
    <row r="10" spans="1:13" ht="15.75" thickBot="1" x14ac:dyDescent="0.3">
      <c r="A10" t="s">
        <v>9</v>
      </c>
      <c r="B10" s="2">
        <v>12</v>
      </c>
    </row>
    <row r="11" spans="1:13" ht="15.75" thickBot="1" x14ac:dyDescent="0.3">
      <c r="A11" t="s">
        <v>10</v>
      </c>
      <c r="B11" s="52" t="s">
        <v>25</v>
      </c>
      <c r="C11" s="53"/>
      <c r="D11" s="53"/>
      <c r="E11" s="53"/>
      <c r="F11" s="53"/>
      <c r="G11" s="53"/>
      <c r="H11" s="53"/>
      <c r="I11" s="53"/>
      <c r="J11" s="53" t="s">
        <v>26</v>
      </c>
      <c r="K11" s="53"/>
      <c r="L11" s="53"/>
      <c r="M11" s="54"/>
    </row>
    <row r="14" spans="1:13" x14ac:dyDescent="0.25">
      <c r="A14" s="5" t="s">
        <v>27</v>
      </c>
    </row>
    <row r="15" spans="1:13" x14ac:dyDescent="0.25">
      <c r="A15" s="5" t="s">
        <v>29</v>
      </c>
    </row>
    <row r="16" spans="1:13" x14ac:dyDescent="0.25">
      <c r="A16" s="5" t="s">
        <v>30</v>
      </c>
    </row>
    <row r="17" spans="1:1" x14ac:dyDescent="0.25">
      <c r="A17" s="5" t="s">
        <v>31</v>
      </c>
    </row>
    <row r="19" spans="1:1" x14ac:dyDescent="0.25">
      <c r="A19" s="5" t="s">
        <v>28</v>
      </c>
    </row>
    <row r="20" spans="1:1" x14ac:dyDescent="0.25">
      <c r="A20" t="s">
        <v>32</v>
      </c>
    </row>
  </sheetData>
  <mergeCells count="2">
    <mergeCell ref="B11:I11"/>
    <mergeCell ref="J11:M1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6E934-0115-42AA-9353-9C2CCC108CD5}">
  <dimension ref="A1:M39"/>
  <sheetViews>
    <sheetView workbookViewId="0">
      <selection activeCell="E23" sqref="E23"/>
    </sheetView>
  </sheetViews>
  <sheetFormatPr defaultRowHeight="15" x14ac:dyDescent="0.25"/>
  <cols>
    <col min="1" max="1" width="16.140625" customWidth="1"/>
    <col min="2" max="2" width="58" style="6" customWidth="1"/>
    <col min="3" max="3" width="13.85546875" style="7" customWidth="1"/>
    <col min="4" max="4" width="11.42578125" customWidth="1"/>
    <col min="5" max="5" width="74.140625" customWidth="1"/>
  </cols>
  <sheetData>
    <row r="1" spans="1:13" x14ac:dyDescent="0.25">
      <c r="A1" s="58" t="s">
        <v>34</v>
      </c>
      <c r="B1" s="58"/>
      <c r="C1" s="58"/>
      <c r="D1" s="58"/>
      <c r="E1" s="58"/>
    </row>
    <row r="2" spans="1:13" x14ac:dyDescent="0.25">
      <c r="A2" s="58" t="s">
        <v>82</v>
      </c>
      <c r="B2" s="58"/>
      <c r="C2" s="58"/>
      <c r="D2" s="58"/>
      <c r="E2" s="58"/>
    </row>
    <row r="3" spans="1:13" x14ac:dyDescent="0.25">
      <c r="A3" s="32"/>
      <c r="B3" s="32"/>
      <c r="C3" s="33"/>
      <c r="D3" s="32"/>
      <c r="E3" s="32"/>
    </row>
    <row r="5" spans="1:13" ht="15.75" thickBot="1" x14ac:dyDescent="0.3">
      <c r="A5" t="s">
        <v>22</v>
      </c>
    </row>
    <row r="6" spans="1:13" x14ac:dyDescent="0.25">
      <c r="A6" s="11" t="s">
        <v>43</v>
      </c>
      <c r="B6" s="12" t="s">
        <v>44</v>
      </c>
      <c r="C6" s="18" t="s">
        <v>40</v>
      </c>
      <c r="D6" s="26" t="s">
        <v>45</v>
      </c>
      <c r="E6" s="30" t="s">
        <v>80</v>
      </c>
    </row>
    <row r="7" spans="1:13" x14ac:dyDescent="0.25">
      <c r="A7" s="13" t="s">
        <v>10</v>
      </c>
      <c r="B7" s="9" t="s">
        <v>50</v>
      </c>
      <c r="C7" s="19">
        <v>4</v>
      </c>
      <c r="D7" s="27" t="s">
        <v>87</v>
      </c>
      <c r="E7" s="55" t="s">
        <v>81</v>
      </c>
    </row>
    <row r="8" spans="1:13" x14ac:dyDescent="0.25">
      <c r="A8" s="13"/>
      <c r="B8" s="8" t="s">
        <v>57</v>
      </c>
      <c r="C8" s="19">
        <v>4</v>
      </c>
      <c r="D8" s="27" t="s">
        <v>87</v>
      </c>
      <c r="E8" s="56"/>
    </row>
    <row r="9" spans="1:13" ht="14.25" customHeight="1" x14ac:dyDescent="0.25">
      <c r="A9" s="13"/>
      <c r="B9" s="9" t="s">
        <v>55</v>
      </c>
      <c r="C9" s="19">
        <v>4</v>
      </c>
      <c r="D9" s="27" t="s">
        <v>87</v>
      </c>
      <c r="E9" s="56"/>
    </row>
    <row r="10" spans="1:13" x14ac:dyDescent="0.25">
      <c r="A10" s="17"/>
      <c r="B10" s="8" t="s">
        <v>56</v>
      </c>
      <c r="C10" s="19">
        <v>4</v>
      </c>
      <c r="D10" s="27" t="s">
        <v>87</v>
      </c>
      <c r="E10" s="56"/>
    </row>
    <row r="11" spans="1:13" x14ac:dyDescent="0.25">
      <c r="A11" s="13"/>
      <c r="B11" s="9" t="s">
        <v>35</v>
      </c>
      <c r="C11" s="19">
        <v>8</v>
      </c>
      <c r="D11" s="27" t="s">
        <v>46</v>
      </c>
      <c r="E11" s="56"/>
    </row>
    <row r="12" spans="1:13" x14ac:dyDescent="0.25">
      <c r="A12" s="13"/>
      <c r="B12" s="8" t="s">
        <v>39</v>
      </c>
      <c r="C12" s="19">
        <v>8</v>
      </c>
      <c r="D12" s="27" t="s">
        <v>46</v>
      </c>
      <c r="E12" s="56"/>
    </row>
    <row r="13" spans="1:13" x14ac:dyDescent="0.25">
      <c r="A13" s="13"/>
      <c r="B13" s="8" t="s">
        <v>41</v>
      </c>
      <c r="C13" s="19">
        <v>8</v>
      </c>
      <c r="D13" s="27" t="s">
        <v>46</v>
      </c>
      <c r="E13" s="56"/>
    </row>
    <row r="14" spans="1:13" x14ac:dyDescent="0.25">
      <c r="A14" s="13"/>
      <c r="B14" s="8" t="s">
        <v>36</v>
      </c>
      <c r="C14" s="19">
        <v>8</v>
      </c>
      <c r="D14" s="28" t="s">
        <v>47</v>
      </c>
      <c r="E14" s="56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3"/>
      <c r="B15" s="9" t="s">
        <v>37</v>
      </c>
      <c r="C15" s="19">
        <v>8</v>
      </c>
      <c r="D15" s="27" t="s">
        <v>47</v>
      </c>
      <c r="E15" s="56"/>
    </row>
    <row r="16" spans="1:13" x14ac:dyDescent="0.25">
      <c r="A16" s="13"/>
      <c r="B16" s="9" t="s">
        <v>38</v>
      </c>
      <c r="C16" s="20">
        <v>4</v>
      </c>
      <c r="D16" s="27" t="s">
        <v>48</v>
      </c>
      <c r="E16" s="56"/>
    </row>
    <row r="17" spans="1:5" x14ac:dyDescent="0.25">
      <c r="A17" s="13"/>
      <c r="B17" s="9" t="s">
        <v>58</v>
      </c>
      <c r="C17" s="20">
        <v>4</v>
      </c>
      <c r="D17" s="27" t="s">
        <v>49</v>
      </c>
      <c r="E17" s="56"/>
    </row>
    <row r="18" spans="1:5" ht="15.75" thickBot="1" x14ac:dyDescent="0.3">
      <c r="A18" s="17"/>
      <c r="B18" s="8"/>
      <c r="D18" s="27"/>
      <c r="E18" s="56"/>
    </row>
    <row r="19" spans="1:5" ht="15.75" thickBot="1" x14ac:dyDescent="0.3">
      <c r="A19" s="15" t="s">
        <v>9</v>
      </c>
      <c r="B19" s="16"/>
      <c r="C19" s="21">
        <f>SUM(C7:C17)</f>
        <v>64</v>
      </c>
      <c r="D19" s="29"/>
      <c r="E19" s="57"/>
    </row>
    <row r="20" spans="1:5" x14ac:dyDescent="0.25">
      <c r="A20" s="5"/>
    </row>
    <row r="21" spans="1:5" x14ac:dyDescent="0.25">
      <c r="A21" s="5"/>
    </row>
    <row r="23" spans="1:5" x14ac:dyDescent="0.25">
      <c r="A23" s="25" t="s">
        <v>59</v>
      </c>
      <c r="B23" s="8" t="s">
        <v>44</v>
      </c>
      <c r="C23" s="22" t="s">
        <v>51</v>
      </c>
    </row>
    <row r="24" spans="1:5" x14ac:dyDescent="0.25">
      <c r="B24" s="8" t="s">
        <v>52</v>
      </c>
      <c r="C24" s="22" t="s">
        <v>53</v>
      </c>
    </row>
    <row r="25" spans="1:5" x14ac:dyDescent="0.25">
      <c r="B25" s="8" t="s">
        <v>60</v>
      </c>
      <c r="C25" s="22" t="s">
        <v>54</v>
      </c>
    </row>
    <row r="26" spans="1:5" x14ac:dyDescent="0.25">
      <c r="B26" s="8"/>
      <c r="C26" s="22"/>
    </row>
    <row r="27" spans="1:5" x14ac:dyDescent="0.25">
      <c r="B27" s="8"/>
      <c r="C27" s="22"/>
      <c r="E27" s="6"/>
    </row>
    <row r="28" spans="1:5" x14ac:dyDescent="0.25">
      <c r="E28" s="4"/>
    </row>
    <row r="29" spans="1:5" x14ac:dyDescent="0.25">
      <c r="A29" t="s">
        <v>61</v>
      </c>
      <c r="B29" s="8" t="s">
        <v>44</v>
      </c>
      <c r="C29" s="22" t="s">
        <v>51</v>
      </c>
      <c r="E29" s="6"/>
    </row>
    <row r="30" spans="1:5" x14ac:dyDescent="0.25">
      <c r="A30" t="s">
        <v>62</v>
      </c>
      <c r="B30" s="8" t="s">
        <v>64</v>
      </c>
      <c r="C30" s="22" t="s">
        <v>53</v>
      </c>
      <c r="E30" s="4"/>
    </row>
    <row r="31" spans="1:5" x14ac:dyDescent="0.25">
      <c r="B31" s="8" t="s">
        <v>65</v>
      </c>
      <c r="C31" s="22" t="s">
        <v>54</v>
      </c>
      <c r="E31" s="6"/>
    </row>
    <row r="32" spans="1:5" x14ac:dyDescent="0.25">
      <c r="B32" s="8" t="s">
        <v>76</v>
      </c>
      <c r="C32" s="22" t="s">
        <v>66</v>
      </c>
    </row>
    <row r="33" spans="2:3" x14ac:dyDescent="0.25">
      <c r="B33" s="8" t="s">
        <v>73</v>
      </c>
      <c r="C33" s="22" t="s">
        <v>67</v>
      </c>
    </row>
    <row r="34" spans="2:3" x14ac:dyDescent="0.25">
      <c r="B34" s="8" t="s">
        <v>71</v>
      </c>
      <c r="C34" s="22" t="s">
        <v>68</v>
      </c>
    </row>
    <row r="35" spans="2:3" x14ac:dyDescent="0.25">
      <c r="B35" s="8" t="s">
        <v>72</v>
      </c>
      <c r="C35" s="22" t="s">
        <v>69</v>
      </c>
    </row>
    <row r="36" spans="2:3" x14ac:dyDescent="0.25">
      <c r="B36" s="8" t="s">
        <v>77</v>
      </c>
      <c r="C36" s="22" t="s">
        <v>70</v>
      </c>
    </row>
    <row r="37" spans="2:3" x14ac:dyDescent="0.25">
      <c r="B37" s="8" t="s">
        <v>63</v>
      </c>
      <c r="C37" s="22" t="s">
        <v>74</v>
      </c>
    </row>
    <row r="38" spans="2:3" x14ac:dyDescent="0.25">
      <c r="B38" s="8" t="s">
        <v>78</v>
      </c>
      <c r="C38" s="22" t="s">
        <v>75</v>
      </c>
    </row>
    <row r="39" spans="2:3" x14ac:dyDescent="0.25">
      <c r="B39" s="8"/>
      <c r="C39" s="22"/>
    </row>
  </sheetData>
  <mergeCells count="3">
    <mergeCell ref="E7:E19"/>
    <mergeCell ref="A2:E2"/>
    <mergeCell ref="A1:E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CEF1-1028-4C10-A78D-DE22A6E951B4}">
  <dimension ref="A1:E16"/>
  <sheetViews>
    <sheetView workbookViewId="0">
      <selection activeCell="E7" sqref="A1:E16"/>
    </sheetView>
  </sheetViews>
  <sheetFormatPr defaultRowHeight="15" x14ac:dyDescent="0.25"/>
  <cols>
    <col min="2" max="2" width="64.5703125" customWidth="1"/>
    <col min="3" max="3" width="13.28515625" customWidth="1"/>
    <col min="4" max="4" width="12.28515625" customWidth="1"/>
    <col min="5" max="5" width="63.7109375" customWidth="1"/>
  </cols>
  <sheetData>
    <row r="1" spans="1:5" x14ac:dyDescent="0.25">
      <c r="A1" t="s">
        <v>79</v>
      </c>
      <c r="B1" s="6"/>
      <c r="C1" s="7"/>
    </row>
    <row r="2" spans="1:5" x14ac:dyDescent="0.25">
      <c r="A2" t="s">
        <v>20</v>
      </c>
      <c r="B2" s="6"/>
      <c r="C2" s="7"/>
    </row>
    <row r="3" spans="1:5" x14ac:dyDescent="0.25">
      <c r="B3" s="6"/>
      <c r="C3" s="7"/>
    </row>
    <row r="4" spans="1:5" x14ac:dyDescent="0.25">
      <c r="B4" s="6"/>
      <c r="C4" s="7"/>
    </row>
    <row r="5" spans="1:5" ht="15.75" thickBot="1" x14ac:dyDescent="0.3">
      <c r="A5" t="s">
        <v>22</v>
      </c>
      <c r="B5" s="6"/>
      <c r="C5" s="7"/>
    </row>
    <row r="6" spans="1:5" x14ac:dyDescent="0.25">
      <c r="A6" s="11" t="s">
        <v>43</v>
      </c>
      <c r="B6" s="12" t="s">
        <v>44</v>
      </c>
      <c r="C6" s="23" t="s">
        <v>40</v>
      </c>
      <c r="D6" s="26" t="s">
        <v>45</v>
      </c>
      <c r="E6" s="30" t="s">
        <v>80</v>
      </c>
    </row>
    <row r="7" spans="1:5" x14ac:dyDescent="0.25">
      <c r="A7" s="13" t="s">
        <v>10</v>
      </c>
      <c r="B7" s="9" t="s">
        <v>50</v>
      </c>
      <c r="C7" s="19">
        <v>4</v>
      </c>
      <c r="D7" s="27" t="s">
        <v>87</v>
      </c>
      <c r="E7" s="55"/>
    </row>
    <row r="8" spans="1:5" x14ac:dyDescent="0.25">
      <c r="A8" s="13"/>
      <c r="B8" s="8" t="s">
        <v>83</v>
      </c>
      <c r="C8" s="19">
        <v>4</v>
      </c>
      <c r="D8" s="27" t="s">
        <v>87</v>
      </c>
      <c r="E8" s="56"/>
    </row>
    <row r="9" spans="1:5" x14ac:dyDescent="0.25">
      <c r="A9" s="13"/>
      <c r="B9" s="9" t="s">
        <v>84</v>
      </c>
      <c r="C9" s="19">
        <v>4</v>
      </c>
      <c r="D9" s="27" t="s">
        <v>87</v>
      </c>
      <c r="E9" s="56"/>
    </row>
    <row r="10" spans="1:5" x14ac:dyDescent="0.25">
      <c r="A10" s="13"/>
      <c r="B10" s="8" t="s">
        <v>85</v>
      </c>
      <c r="C10" s="19">
        <v>4</v>
      </c>
      <c r="D10" s="27" t="s">
        <v>87</v>
      </c>
      <c r="E10" s="56"/>
    </row>
    <row r="11" spans="1:5" x14ac:dyDescent="0.25">
      <c r="A11" s="13"/>
      <c r="B11" s="9" t="s">
        <v>86</v>
      </c>
      <c r="C11" s="19">
        <v>8</v>
      </c>
      <c r="D11" s="27" t="s">
        <v>46</v>
      </c>
      <c r="E11" s="56"/>
    </row>
    <row r="12" spans="1:5" x14ac:dyDescent="0.25">
      <c r="A12" s="13"/>
      <c r="B12" s="8"/>
      <c r="C12" s="19"/>
      <c r="D12" s="27"/>
      <c r="E12" s="56"/>
    </row>
    <row r="13" spans="1:5" x14ac:dyDescent="0.25">
      <c r="A13" s="13"/>
      <c r="B13" s="9"/>
      <c r="C13" s="22"/>
      <c r="D13" s="27"/>
      <c r="E13" s="56"/>
    </row>
    <row r="14" spans="1:5" x14ac:dyDescent="0.25">
      <c r="A14" s="13"/>
      <c r="B14" s="8"/>
      <c r="C14" s="22"/>
      <c r="D14" s="27"/>
      <c r="E14" s="56"/>
    </row>
    <row r="15" spans="1:5" ht="15.75" thickBot="1" x14ac:dyDescent="0.3">
      <c r="A15" s="14"/>
      <c r="B15" s="8"/>
      <c r="C15" s="24"/>
      <c r="D15" s="27"/>
      <c r="E15" s="56"/>
    </row>
    <row r="16" spans="1:5" ht="15.75" thickBot="1" x14ac:dyDescent="0.3">
      <c r="A16" s="15" t="s">
        <v>9</v>
      </c>
      <c r="B16" s="16"/>
      <c r="C16" s="10">
        <f>SUM(C7:C14)</f>
        <v>24</v>
      </c>
      <c r="D16" s="31"/>
      <c r="E16" s="57"/>
    </row>
  </sheetData>
  <mergeCells count="1">
    <mergeCell ref="E7:E16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F374B-28DD-4B9F-B1F0-C0A901F098DD}">
  <dimension ref="A1:T8"/>
  <sheetViews>
    <sheetView workbookViewId="0">
      <selection activeCell="A6" sqref="A6"/>
    </sheetView>
  </sheetViews>
  <sheetFormatPr defaultRowHeight="15" x14ac:dyDescent="0.25"/>
  <sheetData>
    <row r="1" spans="1:20" x14ac:dyDescent="0.25">
      <c r="A1" t="s">
        <v>88</v>
      </c>
    </row>
    <row r="2" spans="1:20" x14ac:dyDescent="0.25">
      <c r="A2" t="s">
        <v>89</v>
      </c>
    </row>
    <row r="3" spans="1:20" x14ac:dyDescent="0.25">
      <c r="A3" t="s">
        <v>90</v>
      </c>
    </row>
    <row r="5" spans="1:20" ht="15.75" thickBot="1" x14ac:dyDescent="0.3">
      <c r="A5" t="s">
        <v>91</v>
      </c>
    </row>
    <row r="6" spans="1:20" ht="15.75" thickBot="1" x14ac:dyDescent="0.3">
      <c r="A6" t="s">
        <v>10</v>
      </c>
      <c r="B6" s="53" t="s">
        <v>26</v>
      </c>
      <c r="C6" s="53"/>
      <c r="D6" s="53"/>
      <c r="E6" s="54"/>
      <c r="F6" s="59" t="s">
        <v>92</v>
      </c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1"/>
    </row>
    <row r="8" spans="1:20" x14ac:dyDescent="0.25">
      <c r="A8" s="34" t="s">
        <v>93</v>
      </c>
    </row>
  </sheetData>
  <mergeCells count="2">
    <mergeCell ref="B6:E6"/>
    <mergeCell ref="F6:T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0365-6803-4FCF-8E45-B80AE81CC2BF}">
  <dimension ref="A1:BQ29"/>
  <sheetViews>
    <sheetView zoomScale="85" zoomScaleNormal="85" workbookViewId="0">
      <selection activeCell="L18" sqref="L18"/>
    </sheetView>
  </sheetViews>
  <sheetFormatPr defaultRowHeight="15" x14ac:dyDescent="0.25"/>
  <cols>
    <col min="2" max="5" width="6.5703125" customWidth="1"/>
    <col min="6" max="9" width="4.5703125" customWidth="1"/>
    <col min="10" max="10" width="10.5703125" customWidth="1"/>
    <col min="11" max="22" width="3.42578125" customWidth="1"/>
    <col min="23" max="69" width="4" customWidth="1"/>
  </cols>
  <sheetData>
    <row r="1" spans="1:69" x14ac:dyDescent="0.25">
      <c r="A1" t="s">
        <v>97</v>
      </c>
    </row>
    <row r="2" spans="1:69" x14ac:dyDescent="0.25">
      <c r="A2" t="s">
        <v>98</v>
      </c>
    </row>
    <row r="3" spans="1:69" x14ac:dyDescent="0.25">
      <c r="A3" t="s">
        <v>99</v>
      </c>
    </row>
    <row r="5" spans="1:69" x14ac:dyDescent="0.25">
      <c r="A5" t="s">
        <v>91</v>
      </c>
    </row>
    <row r="6" spans="1:69" ht="15.75" x14ac:dyDescent="0.25">
      <c r="A6" t="s">
        <v>10</v>
      </c>
      <c r="B6" s="64" t="s">
        <v>129</v>
      </c>
      <c r="C6" s="64"/>
      <c r="D6" s="64"/>
      <c r="E6" s="64"/>
      <c r="F6" s="65" t="s">
        <v>100</v>
      </c>
      <c r="G6" s="66"/>
      <c r="H6" s="66"/>
      <c r="I6" s="67"/>
      <c r="J6" s="44" t="s">
        <v>124</v>
      </c>
      <c r="K6" s="68" t="s">
        <v>121</v>
      </c>
      <c r="L6" s="69"/>
      <c r="M6" s="69"/>
      <c r="N6" s="69"/>
      <c r="O6" s="69"/>
      <c r="P6" s="69"/>
      <c r="Q6" s="69"/>
      <c r="R6" s="69"/>
      <c r="S6" s="69"/>
      <c r="T6" s="69"/>
      <c r="U6" s="69"/>
      <c r="V6" s="70"/>
      <c r="W6" s="62" t="s">
        <v>128</v>
      </c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80" t="s">
        <v>101</v>
      </c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</row>
    <row r="7" spans="1:69" x14ac:dyDescent="0.25">
      <c r="B7" s="64" t="s">
        <v>87</v>
      </c>
      <c r="C7" s="64"/>
      <c r="D7" s="64"/>
      <c r="E7" s="64"/>
      <c r="F7" s="89" t="s">
        <v>87</v>
      </c>
      <c r="G7" s="90"/>
      <c r="H7" s="90"/>
      <c r="I7" s="91"/>
      <c r="J7" s="45" t="s">
        <v>125</v>
      </c>
      <c r="K7" s="82" t="s">
        <v>120</v>
      </c>
      <c r="L7" s="83"/>
      <c r="M7" s="83"/>
      <c r="N7" s="83"/>
      <c r="O7" s="83"/>
      <c r="P7" s="83"/>
      <c r="Q7" s="83"/>
      <c r="R7" s="83"/>
      <c r="S7" s="84" t="s">
        <v>87</v>
      </c>
      <c r="T7" s="84"/>
      <c r="U7" s="84"/>
      <c r="V7" s="84"/>
      <c r="W7" s="71" t="s">
        <v>119</v>
      </c>
      <c r="X7" s="72"/>
      <c r="Y7" s="72"/>
      <c r="Z7" s="73"/>
      <c r="AA7" s="71" t="s">
        <v>118</v>
      </c>
      <c r="AB7" s="72"/>
      <c r="AC7" s="72"/>
      <c r="AD7" s="73"/>
      <c r="AE7" s="74" t="s">
        <v>115</v>
      </c>
      <c r="AF7" s="75"/>
      <c r="AG7" s="75"/>
      <c r="AH7" s="76"/>
      <c r="AI7" s="77" t="s">
        <v>48</v>
      </c>
      <c r="AJ7" s="78"/>
      <c r="AK7" s="78"/>
      <c r="AL7" s="79"/>
      <c r="AM7" s="77" t="s">
        <v>48</v>
      </c>
      <c r="AN7" s="78"/>
      <c r="AO7" s="78"/>
      <c r="AP7" s="79"/>
      <c r="AQ7" s="77" t="s">
        <v>48</v>
      </c>
      <c r="AR7" s="78"/>
      <c r="AS7" s="78"/>
      <c r="AT7" s="79"/>
      <c r="AU7" s="77" t="s">
        <v>48</v>
      </c>
      <c r="AV7" s="78"/>
      <c r="AW7" s="78"/>
      <c r="AX7" s="79"/>
      <c r="AY7" s="37"/>
      <c r="AZ7" s="37"/>
      <c r="BA7" s="37"/>
      <c r="BB7" s="77" t="s">
        <v>48</v>
      </c>
      <c r="BC7" s="78"/>
      <c r="BD7" s="78"/>
      <c r="BE7" s="79"/>
      <c r="BF7" s="77" t="s">
        <v>48</v>
      </c>
      <c r="BG7" s="78"/>
      <c r="BH7" s="78"/>
      <c r="BI7" s="79"/>
      <c r="BJ7" s="77" t="s">
        <v>48</v>
      </c>
      <c r="BK7" s="78"/>
      <c r="BL7" s="78"/>
      <c r="BM7" s="79"/>
      <c r="BN7" s="77" t="s">
        <v>48</v>
      </c>
      <c r="BO7" s="78"/>
      <c r="BP7" s="78"/>
      <c r="BQ7" s="79"/>
    </row>
    <row r="8" spans="1:69" x14ac:dyDescent="0.25">
      <c r="B8" s="64" t="s">
        <v>105</v>
      </c>
      <c r="C8" s="64"/>
      <c r="D8" s="64"/>
      <c r="E8" s="64"/>
      <c r="F8" s="92" t="s">
        <v>102</v>
      </c>
      <c r="G8" s="94" t="s">
        <v>103</v>
      </c>
      <c r="H8" s="95"/>
      <c r="I8" s="96"/>
      <c r="J8" s="46" t="s">
        <v>126</v>
      </c>
      <c r="K8" s="85" t="s">
        <v>104</v>
      </c>
      <c r="L8" s="85"/>
      <c r="M8" s="85"/>
      <c r="N8" s="85"/>
      <c r="O8" s="85"/>
      <c r="P8" s="85"/>
      <c r="Q8" s="85"/>
      <c r="R8" s="85"/>
      <c r="S8" s="85" t="s">
        <v>105</v>
      </c>
      <c r="T8" s="85"/>
      <c r="U8" s="85"/>
      <c r="V8" s="85"/>
      <c r="W8" s="74" t="s">
        <v>116</v>
      </c>
      <c r="X8" s="75"/>
      <c r="Y8" s="75"/>
      <c r="Z8" s="76"/>
      <c r="AA8" s="74" t="s">
        <v>116</v>
      </c>
      <c r="AB8" s="75"/>
      <c r="AC8" s="75"/>
      <c r="AD8" s="76"/>
      <c r="AE8" s="74" t="s">
        <v>116</v>
      </c>
      <c r="AF8" s="75"/>
      <c r="AG8" s="75"/>
      <c r="AH8" s="76"/>
      <c r="AI8" s="77" t="s">
        <v>105</v>
      </c>
      <c r="AJ8" s="78"/>
      <c r="AK8" s="78"/>
      <c r="AL8" s="79"/>
      <c r="AM8" s="77" t="s">
        <v>105</v>
      </c>
      <c r="AN8" s="78"/>
      <c r="AO8" s="78"/>
      <c r="AP8" s="79"/>
      <c r="AQ8" s="77" t="s">
        <v>105</v>
      </c>
      <c r="AR8" s="78"/>
      <c r="AS8" s="78"/>
      <c r="AT8" s="79"/>
      <c r="AU8" s="77" t="s">
        <v>105</v>
      </c>
      <c r="AV8" s="78"/>
      <c r="AW8" s="78"/>
      <c r="AX8" s="79"/>
      <c r="AY8" s="38" t="s">
        <v>106</v>
      </c>
      <c r="AZ8" s="38" t="s">
        <v>106</v>
      </c>
      <c r="BA8" s="38" t="s">
        <v>106</v>
      </c>
      <c r="BB8" s="77" t="s">
        <v>105</v>
      </c>
      <c r="BC8" s="78"/>
      <c r="BD8" s="78"/>
      <c r="BE8" s="79"/>
      <c r="BF8" s="77" t="s">
        <v>105</v>
      </c>
      <c r="BG8" s="78"/>
      <c r="BH8" s="78"/>
      <c r="BI8" s="79"/>
      <c r="BJ8" s="77" t="s">
        <v>105</v>
      </c>
      <c r="BK8" s="78"/>
      <c r="BL8" s="78"/>
      <c r="BM8" s="79"/>
      <c r="BN8" s="77" t="s">
        <v>105</v>
      </c>
      <c r="BO8" s="78"/>
      <c r="BP8" s="78"/>
      <c r="BQ8" s="79"/>
    </row>
    <row r="9" spans="1:69" ht="18.75" x14ac:dyDescent="0.25">
      <c r="B9" s="64" t="s">
        <v>130</v>
      </c>
      <c r="C9" s="64"/>
      <c r="D9" s="64"/>
      <c r="E9" s="64"/>
      <c r="F9" s="93"/>
      <c r="G9" s="97"/>
      <c r="H9" s="98"/>
      <c r="I9" s="99"/>
      <c r="J9" s="47" t="s">
        <v>127</v>
      </c>
      <c r="K9" s="85" t="s">
        <v>122</v>
      </c>
      <c r="L9" s="85"/>
      <c r="M9" s="85"/>
      <c r="N9" s="85"/>
      <c r="O9" s="85"/>
      <c r="P9" s="85"/>
      <c r="Q9" s="85"/>
      <c r="R9" s="85"/>
      <c r="S9" s="85" t="s">
        <v>123</v>
      </c>
      <c r="T9" s="85"/>
      <c r="U9" s="85"/>
      <c r="V9" s="85"/>
      <c r="W9" s="74" t="s">
        <v>107</v>
      </c>
      <c r="X9" s="75"/>
      <c r="Y9" s="75"/>
      <c r="Z9" s="76"/>
      <c r="AA9" s="74" t="s">
        <v>107</v>
      </c>
      <c r="AB9" s="75"/>
      <c r="AC9" s="75"/>
      <c r="AD9" s="76"/>
      <c r="AE9" s="74" t="s">
        <v>117</v>
      </c>
      <c r="AF9" s="75"/>
      <c r="AG9" s="75"/>
      <c r="AH9" s="76"/>
      <c r="AI9" s="77" t="s">
        <v>110</v>
      </c>
      <c r="AJ9" s="78"/>
      <c r="AK9" s="78"/>
      <c r="AL9" s="79"/>
      <c r="AM9" s="77" t="s">
        <v>111</v>
      </c>
      <c r="AN9" s="78"/>
      <c r="AO9" s="78"/>
      <c r="AP9" s="79"/>
      <c r="AQ9" s="86" t="s">
        <v>108</v>
      </c>
      <c r="AR9" s="87"/>
      <c r="AS9" s="87"/>
      <c r="AT9" s="88"/>
      <c r="AU9" s="77" t="s">
        <v>109</v>
      </c>
      <c r="AV9" s="78"/>
      <c r="AW9" s="78"/>
      <c r="AX9" s="79"/>
      <c r="AY9" s="39"/>
      <c r="AZ9" s="36"/>
      <c r="BA9" s="40"/>
      <c r="BB9" s="77" t="s">
        <v>112</v>
      </c>
      <c r="BC9" s="78"/>
      <c r="BD9" s="78"/>
      <c r="BE9" s="79"/>
      <c r="BF9" s="77" t="s">
        <v>113</v>
      </c>
      <c r="BG9" s="78"/>
      <c r="BH9" s="78"/>
      <c r="BI9" s="79"/>
      <c r="BJ9" s="86" t="s">
        <v>108</v>
      </c>
      <c r="BK9" s="87"/>
      <c r="BL9" s="87"/>
      <c r="BM9" s="88"/>
      <c r="BN9" s="77" t="s">
        <v>114</v>
      </c>
      <c r="BO9" s="78"/>
      <c r="BP9" s="78"/>
      <c r="BQ9" s="79"/>
    </row>
    <row r="12" spans="1:69" ht="15.75" x14ac:dyDescent="0.25">
      <c r="B12" s="41" t="s">
        <v>133</v>
      </c>
    </row>
    <row r="13" spans="1:69" x14ac:dyDescent="0.25">
      <c r="B13" t="s">
        <v>131</v>
      </c>
    </row>
    <row r="15" spans="1:69" ht="18" x14ac:dyDescent="0.35">
      <c r="B15" s="43" t="s">
        <v>132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</row>
    <row r="17" spans="2:2" ht="15.75" x14ac:dyDescent="0.25">
      <c r="B17" s="41" t="s">
        <v>134</v>
      </c>
    </row>
    <row r="19" spans="2:2" ht="15.75" x14ac:dyDescent="0.25">
      <c r="B19" s="41" t="s">
        <v>135</v>
      </c>
    </row>
    <row r="21" spans="2:2" ht="15.75" x14ac:dyDescent="0.25">
      <c r="B21" s="41" t="s">
        <v>136</v>
      </c>
    </row>
    <row r="23" spans="2:2" ht="15.75" x14ac:dyDescent="0.25">
      <c r="B23" s="41" t="s">
        <v>137</v>
      </c>
    </row>
    <row r="25" spans="2:2" ht="15.75" x14ac:dyDescent="0.25">
      <c r="B25" s="41" t="s">
        <v>138</v>
      </c>
    </row>
    <row r="27" spans="2:2" ht="15.75" x14ac:dyDescent="0.25">
      <c r="B27" s="48" t="s">
        <v>139</v>
      </c>
    </row>
    <row r="28" spans="2:2" x14ac:dyDescent="0.25">
      <c r="B28" s="48" t="s">
        <v>141</v>
      </c>
    </row>
    <row r="29" spans="2:2" x14ac:dyDescent="0.25">
      <c r="B29" s="35" t="s">
        <v>140</v>
      </c>
    </row>
  </sheetData>
  <mergeCells count="50">
    <mergeCell ref="AI7:AL7"/>
    <mergeCell ref="AM7:AP7"/>
    <mergeCell ref="BF8:BI8"/>
    <mergeCell ref="BJ8:BM8"/>
    <mergeCell ref="BJ7:BM7"/>
    <mergeCell ref="AI8:AL8"/>
    <mergeCell ref="AM8:AP8"/>
    <mergeCell ref="AQ8:AT8"/>
    <mergeCell ref="AQ7:AT7"/>
    <mergeCell ref="AU7:AX7"/>
    <mergeCell ref="BB7:BE7"/>
    <mergeCell ref="BF7:BI7"/>
    <mergeCell ref="BB8:BE8"/>
    <mergeCell ref="AI9:AL9"/>
    <mergeCell ref="AM9:AP9"/>
    <mergeCell ref="AQ9:AT9"/>
    <mergeCell ref="AU8:AX8"/>
    <mergeCell ref="S9:V9"/>
    <mergeCell ref="W8:Z8"/>
    <mergeCell ref="AA8:AD8"/>
    <mergeCell ref="AE8:AH8"/>
    <mergeCell ref="BN7:BQ7"/>
    <mergeCell ref="BN8:BQ8"/>
    <mergeCell ref="BN9:BQ9"/>
    <mergeCell ref="AI6:BQ6"/>
    <mergeCell ref="K7:R7"/>
    <mergeCell ref="S7:V7"/>
    <mergeCell ref="K8:R8"/>
    <mergeCell ref="K9:R9"/>
    <mergeCell ref="S8:V8"/>
    <mergeCell ref="AU9:AX9"/>
    <mergeCell ref="BB9:BE9"/>
    <mergeCell ref="BF9:BI9"/>
    <mergeCell ref="BJ9:BM9"/>
    <mergeCell ref="W9:Z9"/>
    <mergeCell ref="AA9:AD9"/>
    <mergeCell ref="AE9:AH9"/>
    <mergeCell ref="W6:AH6"/>
    <mergeCell ref="B6:E6"/>
    <mergeCell ref="B7:E7"/>
    <mergeCell ref="B8:E8"/>
    <mergeCell ref="B9:E9"/>
    <mergeCell ref="F6:I6"/>
    <mergeCell ref="K6:V6"/>
    <mergeCell ref="W7:Z7"/>
    <mergeCell ref="AA7:AD7"/>
    <mergeCell ref="AE7:AH7"/>
    <mergeCell ref="F7:I7"/>
    <mergeCell ref="F8:F9"/>
    <mergeCell ref="G8:I9"/>
  </mergeCells>
  <phoneticPr fontId="1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239B-A8D3-420B-AC78-BC31357D395C}">
  <dimension ref="A1:E16"/>
  <sheetViews>
    <sheetView workbookViewId="0">
      <selection activeCell="E7" sqref="A6:E16"/>
    </sheetView>
  </sheetViews>
  <sheetFormatPr defaultRowHeight="15" x14ac:dyDescent="0.25"/>
  <cols>
    <col min="1" max="1" width="8.140625" customWidth="1"/>
    <col min="2" max="2" width="64.42578125" customWidth="1"/>
  </cols>
  <sheetData>
    <row r="1" spans="1:5" x14ac:dyDescent="0.25">
      <c r="A1" t="s">
        <v>144</v>
      </c>
      <c r="B1" s="6"/>
      <c r="C1" s="7"/>
    </row>
    <row r="2" spans="1:5" x14ac:dyDescent="0.25">
      <c r="B2" s="6"/>
      <c r="C2" s="7"/>
    </row>
    <row r="3" spans="1:5" x14ac:dyDescent="0.25">
      <c r="B3" s="6"/>
      <c r="C3" s="7"/>
    </row>
    <row r="4" spans="1:5" x14ac:dyDescent="0.25">
      <c r="B4" s="6"/>
      <c r="C4" s="7"/>
    </row>
    <row r="5" spans="1:5" ht="15.75" thickBot="1" x14ac:dyDescent="0.3">
      <c r="A5" t="s">
        <v>145</v>
      </c>
      <c r="B5" s="6"/>
      <c r="C5" s="7"/>
    </row>
    <row r="6" spans="1:5" x14ac:dyDescent="0.25">
      <c r="A6" s="11" t="s">
        <v>43</v>
      </c>
      <c r="B6" s="12" t="s">
        <v>44</v>
      </c>
      <c r="C6" s="23" t="s">
        <v>40</v>
      </c>
      <c r="D6" s="26" t="s">
        <v>45</v>
      </c>
      <c r="E6" s="30" t="s">
        <v>80</v>
      </c>
    </row>
    <row r="7" spans="1:5" x14ac:dyDescent="0.25">
      <c r="A7" s="13" t="s">
        <v>10</v>
      </c>
      <c r="B7" s="9" t="s">
        <v>50</v>
      </c>
      <c r="C7" s="19">
        <v>4</v>
      </c>
      <c r="D7" s="27" t="s">
        <v>87</v>
      </c>
      <c r="E7" s="55"/>
    </row>
    <row r="8" spans="1:5" x14ac:dyDescent="0.25">
      <c r="A8" s="13"/>
      <c r="B8" s="8" t="s">
        <v>56</v>
      </c>
      <c r="C8" s="19">
        <v>4</v>
      </c>
      <c r="D8" s="27" t="s">
        <v>87</v>
      </c>
      <c r="E8" s="56"/>
    </row>
    <row r="9" spans="1:5" x14ac:dyDescent="0.25">
      <c r="A9" s="13"/>
      <c r="B9" s="9" t="s">
        <v>36</v>
      </c>
      <c r="C9" s="19">
        <v>8</v>
      </c>
      <c r="D9" s="27" t="s">
        <v>87</v>
      </c>
      <c r="E9" s="56"/>
    </row>
    <row r="10" spans="1:5" x14ac:dyDescent="0.25">
      <c r="A10" s="13"/>
      <c r="B10" s="8" t="s">
        <v>37</v>
      </c>
      <c r="C10" s="19">
        <v>8</v>
      </c>
      <c r="D10" s="27" t="s">
        <v>87</v>
      </c>
      <c r="E10" s="56"/>
    </row>
    <row r="11" spans="1:5" x14ac:dyDescent="0.25">
      <c r="A11" s="13"/>
      <c r="B11" s="9" t="s">
        <v>143</v>
      </c>
      <c r="C11" s="19">
        <v>4</v>
      </c>
      <c r="D11" s="27" t="s">
        <v>46</v>
      </c>
      <c r="E11" s="56"/>
    </row>
    <row r="12" spans="1:5" x14ac:dyDescent="0.25">
      <c r="A12" s="13"/>
      <c r="B12" s="8"/>
      <c r="C12" s="19"/>
      <c r="D12" s="27"/>
      <c r="E12" s="56"/>
    </row>
    <row r="13" spans="1:5" x14ac:dyDescent="0.25">
      <c r="A13" s="13"/>
      <c r="B13" s="9"/>
      <c r="C13" s="22"/>
      <c r="D13" s="27"/>
      <c r="E13" s="56"/>
    </row>
    <row r="14" spans="1:5" x14ac:dyDescent="0.25">
      <c r="A14" s="13"/>
      <c r="B14" s="8"/>
      <c r="C14" s="22"/>
      <c r="D14" s="27"/>
      <c r="E14" s="56"/>
    </row>
    <row r="15" spans="1:5" ht="15.75" thickBot="1" x14ac:dyDescent="0.3">
      <c r="A15" s="14"/>
      <c r="B15" s="8"/>
      <c r="C15" s="24"/>
      <c r="D15" s="27"/>
      <c r="E15" s="56"/>
    </row>
    <row r="16" spans="1:5" ht="15.75" thickBot="1" x14ac:dyDescent="0.3">
      <c r="A16" s="15" t="s">
        <v>9</v>
      </c>
      <c r="B16" s="16"/>
      <c r="C16" s="10">
        <f>SUM(C7:C14)</f>
        <v>28</v>
      </c>
      <c r="D16" s="31"/>
      <c r="E16" s="57"/>
    </row>
  </sheetData>
  <mergeCells count="1">
    <mergeCell ref="E7:E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DA5D0-0701-4A3F-8B27-1D3C2C0AB5EB}">
  <dimension ref="A1:E15"/>
  <sheetViews>
    <sheetView workbookViewId="0">
      <selection activeCell="E5" sqref="A1:E14"/>
    </sheetView>
  </sheetViews>
  <sheetFormatPr defaultRowHeight="15" x14ac:dyDescent="0.25"/>
  <cols>
    <col min="1" max="1" width="9.85546875" customWidth="1"/>
    <col min="2" max="2" width="41.85546875" customWidth="1"/>
    <col min="3" max="3" width="32.7109375" customWidth="1"/>
    <col min="4" max="4" width="19.5703125" customWidth="1"/>
    <col min="5" max="5" width="37" customWidth="1"/>
  </cols>
  <sheetData>
    <row r="1" spans="1:5" x14ac:dyDescent="0.25">
      <c r="A1" t="s">
        <v>149</v>
      </c>
    </row>
    <row r="3" spans="1:5" ht="15.75" thickBot="1" x14ac:dyDescent="0.3">
      <c r="A3" t="s">
        <v>145</v>
      </c>
    </row>
    <row r="4" spans="1:5" ht="15.75" thickBot="1" x14ac:dyDescent="0.3">
      <c r="A4" s="11" t="s">
        <v>43</v>
      </c>
      <c r="B4" s="12" t="s">
        <v>44</v>
      </c>
      <c r="C4" s="23" t="s">
        <v>40</v>
      </c>
      <c r="D4" s="26" t="s">
        <v>45</v>
      </c>
      <c r="E4" s="50" t="s">
        <v>80</v>
      </c>
    </row>
    <row r="5" spans="1:5" x14ac:dyDescent="0.25">
      <c r="A5" s="109" t="s">
        <v>154</v>
      </c>
      <c r="B5" s="9" t="s">
        <v>146</v>
      </c>
      <c r="C5" s="19">
        <v>8</v>
      </c>
      <c r="D5" s="27" t="s">
        <v>46</v>
      </c>
      <c r="E5" s="100" t="s">
        <v>150</v>
      </c>
    </row>
    <row r="6" spans="1:5" x14ac:dyDescent="0.25">
      <c r="A6" s="110"/>
      <c r="B6" s="8" t="s">
        <v>147</v>
      </c>
      <c r="C6" s="19">
        <v>8</v>
      </c>
      <c r="D6" s="27" t="s">
        <v>46</v>
      </c>
      <c r="E6" s="101"/>
    </row>
    <row r="7" spans="1:5" x14ac:dyDescent="0.25">
      <c r="A7" s="111"/>
      <c r="B7" s="9" t="s">
        <v>148</v>
      </c>
      <c r="C7" s="19">
        <v>8</v>
      </c>
      <c r="D7" s="27" t="s">
        <v>47</v>
      </c>
      <c r="E7" s="101"/>
    </row>
    <row r="8" spans="1:5" x14ac:dyDescent="0.25">
      <c r="A8" s="109" t="s">
        <v>154</v>
      </c>
      <c r="B8" s="103" t="s">
        <v>151</v>
      </c>
      <c r="C8" s="19"/>
      <c r="D8" s="27"/>
      <c r="E8" s="101"/>
    </row>
    <row r="9" spans="1:5" x14ac:dyDescent="0.25">
      <c r="A9" s="110"/>
      <c r="B9" s="104"/>
      <c r="C9" s="19"/>
      <c r="D9" s="27"/>
      <c r="E9" s="101"/>
    </row>
    <row r="10" spans="1:5" x14ac:dyDescent="0.25">
      <c r="A10" s="111"/>
      <c r="B10" s="105"/>
      <c r="C10" s="19"/>
      <c r="D10" s="27"/>
      <c r="E10" s="101"/>
    </row>
    <row r="11" spans="1:5" x14ac:dyDescent="0.25">
      <c r="A11" s="109" t="s">
        <v>154</v>
      </c>
      <c r="B11" s="106" t="s">
        <v>153</v>
      </c>
      <c r="C11" s="22"/>
      <c r="D11" s="27"/>
      <c r="E11" s="101"/>
    </row>
    <row r="12" spans="1:5" x14ac:dyDescent="0.25">
      <c r="A12" s="110"/>
      <c r="B12" s="107"/>
      <c r="C12" s="22"/>
      <c r="D12" s="27"/>
      <c r="E12" s="101"/>
    </row>
    <row r="13" spans="1:5" ht="15.75" thickBot="1" x14ac:dyDescent="0.3">
      <c r="A13" s="111"/>
      <c r="B13" s="108"/>
      <c r="C13" s="24"/>
      <c r="D13" s="27"/>
      <c r="E13" s="101"/>
    </row>
    <row r="14" spans="1:5" ht="15.75" thickBot="1" x14ac:dyDescent="0.3">
      <c r="A14" s="15" t="s">
        <v>152</v>
      </c>
      <c r="B14" s="16"/>
      <c r="C14" s="10">
        <f>SUM(C5:C12)</f>
        <v>24</v>
      </c>
      <c r="D14" s="31"/>
      <c r="E14" s="102"/>
    </row>
    <row r="15" spans="1:5" x14ac:dyDescent="0.25">
      <c r="B15" s="6"/>
      <c r="C15" s="7"/>
      <c r="E15" s="49"/>
    </row>
  </sheetData>
  <mergeCells count="6">
    <mergeCell ref="E5:E14"/>
    <mergeCell ref="B8:B10"/>
    <mergeCell ref="B11:B13"/>
    <mergeCell ref="A5:A7"/>
    <mergeCell ref="A8:A10"/>
    <mergeCell ref="A11:A1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CBDB-EA36-4C4D-A74B-815CD7D71F8D}">
  <dimension ref="A1:E22"/>
  <sheetViews>
    <sheetView workbookViewId="0">
      <selection activeCell="E5" sqref="A1:E14"/>
    </sheetView>
  </sheetViews>
  <sheetFormatPr defaultRowHeight="15" x14ac:dyDescent="0.25"/>
  <cols>
    <col min="1" max="1" width="18.42578125" customWidth="1"/>
    <col min="2" max="2" width="45.5703125" customWidth="1"/>
  </cols>
  <sheetData>
    <row r="1" spans="1:5" x14ac:dyDescent="0.25">
      <c r="A1" t="s">
        <v>149</v>
      </c>
    </row>
    <row r="3" spans="1:5" ht="15.75" thickBot="1" x14ac:dyDescent="0.3">
      <c r="A3" t="s">
        <v>145</v>
      </c>
    </row>
    <row r="4" spans="1:5" ht="15.75" thickBot="1" x14ac:dyDescent="0.3">
      <c r="A4" s="11" t="s">
        <v>43</v>
      </c>
      <c r="B4" s="12" t="s">
        <v>44</v>
      </c>
      <c r="C4" s="23" t="s">
        <v>40</v>
      </c>
      <c r="D4" s="26" t="s">
        <v>45</v>
      </c>
      <c r="E4" s="50" t="s">
        <v>80</v>
      </c>
    </row>
    <row r="5" spans="1:5" x14ac:dyDescent="0.25">
      <c r="A5" s="109" t="s">
        <v>159</v>
      </c>
      <c r="B5" s="103" t="s">
        <v>160</v>
      </c>
      <c r="C5" s="19"/>
      <c r="D5" s="27"/>
      <c r="E5" s="100" t="s">
        <v>161</v>
      </c>
    </row>
    <row r="6" spans="1:5" x14ac:dyDescent="0.25">
      <c r="A6" s="110"/>
      <c r="B6" s="104"/>
      <c r="C6" s="19"/>
      <c r="D6" s="27"/>
      <c r="E6" s="101"/>
    </row>
    <row r="7" spans="1:5" x14ac:dyDescent="0.25">
      <c r="A7" s="111"/>
      <c r="B7" s="105"/>
      <c r="C7" s="19"/>
      <c r="D7" s="27"/>
      <c r="E7" s="101"/>
    </row>
    <row r="8" spans="1:5" x14ac:dyDescent="0.25">
      <c r="A8" s="109" t="s">
        <v>159</v>
      </c>
      <c r="B8" s="103" t="s">
        <v>162</v>
      </c>
      <c r="C8" s="19"/>
      <c r="D8" s="27"/>
      <c r="E8" s="101"/>
    </row>
    <row r="9" spans="1:5" x14ac:dyDescent="0.25">
      <c r="A9" s="110"/>
      <c r="B9" s="104"/>
      <c r="C9" s="19"/>
      <c r="D9" s="27"/>
      <c r="E9" s="101"/>
    </row>
    <row r="10" spans="1:5" x14ac:dyDescent="0.25">
      <c r="A10" s="111"/>
      <c r="B10" s="105"/>
      <c r="C10" s="19"/>
      <c r="D10" s="27"/>
      <c r="E10" s="101"/>
    </row>
    <row r="11" spans="1:5" ht="15" customHeight="1" x14ac:dyDescent="0.25">
      <c r="A11" s="109" t="s">
        <v>159</v>
      </c>
      <c r="B11" s="103" t="s">
        <v>163</v>
      </c>
      <c r="C11" s="22"/>
      <c r="D11" s="27"/>
      <c r="E11" s="101"/>
    </row>
    <row r="12" spans="1:5" x14ac:dyDescent="0.25">
      <c r="A12" s="110"/>
      <c r="B12" s="104"/>
      <c r="C12" s="22"/>
      <c r="D12" s="27"/>
      <c r="E12" s="101"/>
    </row>
    <row r="13" spans="1:5" ht="15.75" thickBot="1" x14ac:dyDescent="0.3">
      <c r="A13" s="111"/>
      <c r="B13" s="105"/>
      <c r="C13" s="24"/>
      <c r="D13" s="27"/>
      <c r="E13" s="101"/>
    </row>
    <row r="14" spans="1:5" ht="15.75" thickBot="1" x14ac:dyDescent="0.3">
      <c r="A14" s="15"/>
      <c r="B14" s="16"/>
      <c r="C14" s="10">
        <f>SUM(C5:C12)</f>
        <v>0</v>
      </c>
      <c r="D14" s="31"/>
      <c r="E14" s="102"/>
    </row>
    <row r="22" spans="2:2" x14ac:dyDescent="0.25">
      <c r="B22" s="6"/>
    </row>
  </sheetData>
  <mergeCells count="7">
    <mergeCell ref="A5:A7"/>
    <mergeCell ref="E5:E14"/>
    <mergeCell ref="A8:A10"/>
    <mergeCell ref="B8:B10"/>
    <mergeCell ref="A11:A13"/>
    <mergeCell ref="B11:B13"/>
    <mergeCell ref="B5:B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CAD1A-0EDA-4D32-B98D-A5C1CBBD9587}">
  <dimension ref="A1:E14"/>
  <sheetViews>
    <sheetView workbookViewId="0">
      <selection activeCell="E5" sqref="A1:E14"/>
    </sheetView>
  </sheetViews>
  <sheetFormatPr defaultRowHeight="15" x14ac:dyDescent="0.25"/>
  <cols>
    <col min="1" max="1" width="23.42578125" customWidth="1"/>
    <col min="2" max="2" width="46" customWidth="1"/>
    <col min="5" max="5" width="18.42578125" customWidth="1"/>
  </cols>
  <sheetData>
    <row r="1" spans="1:5" x14ac:dyDescent="0.25">
      <c r="A1" t="s">
        <v>149</v>
      </c>
    </row>
    <row r="3" spans="1:5" ht="15.75" thickBot="1" x14ac:dyDescent="0.3">
      <c r="A3" t="s">
        <v>145</v>
      </c>
    </row>
    <row r="4" spans="1:5" ht="15.75" thickBot="1" x14ac:dyDescent="0.3">
      <c r="A4" s="11" t="s">
        <v>43</v>
      </c>
      <c r="B4" s="12" t="s">
        <v>44</v>
      </c>
      <c r="C4" s="23" t="s">
        <v>40</v>
      </c>
      <c r="D4" s="26" t="s">
        <v>45</v>
      </c>
      <c r="E4" s="50" t="s">
        <v>80</v>
      </c>
    </row>
    <row r="5" spans="1:5" x14ac:dyDescent="0.25">
      <c r="A5" s="109" t="s">
        <v>164</v>
      </c>
      <c r="B5" s="103" t="s">
        <v>160</v>
      </c>
      <c r="C5" s="19"/>
      <c r="D5" s="27"/>
      <c r="E5" s="100" t="s">
        <v>161</v>
      </c>
    </row>
    <row r="6" spans="1:5" x14ac:dyDescent="0.25">
      <c r="A6" s="110"/>
      <c r="B6" s="104"/>
      <c r="C6" s="19"/>
      <c r="D6" s="27"/>
      <c r="E6" s="101"/>
    </row>
    <row r="7" spans="1:5" x14ac:dyDescent="0.25">
      <c r="A7" s="111"/>
      <c r="B7" s="105"/>
      <c r="C7" s="19"/>
      <c r="D7" s="27"/>
      <c r="E7" s="101"/>
    </row>
    <row r="8" spans="1:5" x14ac:dyDescent="0.25">
      <c r="A8" s="109" t="s">
        <v>164</v>
      </c>
      <c r="B8" s="103" t="s">
        <v>162</v>
      </c>
      <c r="C8" s="19"/>
      <c r="D8" s="27"/>
      <c r="E8" s="101"/>
    </row>
    <row r="9" spans="1:5" x14ac:dyDescent="0.25">
      <c r="A9" s="110"/>
      <c r="B9" s="104"/>
      <c r="C9" s="19"/>
      <c r="D9" s="27"/>
      <c r="E9" s="101"/>
    </row>
    <row r="10" spans="1:5" x14ac:dyDescent="0.25">
      <c r="A10" s="111"/>
      <c r="B10" s="105"/>
      <c r="C10" s="19"/>
      <c r="D10" s="27"/>
      <c r="E10" s="101"/>
    </row>
    <row r="11" spans="1:5" x14ac:dyDescent="0.25">
      <c r="A11" s="109" t="s">
        <v>164</v>
      </c>
      <c r="B11" s="103" t="s">
        <v>163</v>
      </c>
      <c r="C11" s="22"/>
      <c r="D11" s="27"/>
      <c r="E11" s="101"/>
    </row>
    <row r="12" spans="1:5" x14ac:dyDescent="0.25">
      <c r="A12" s="110"/>
      <c r="B12" s="104"/>
      <c r="C12" s="22"/>
      <c r="D12" s="27"/>
      <c r="E12" s="101"/>
    </row>
    <row r="13" spans="1:5" ht="15.75" thickBot="1" x14ac:dyDescent="0.3">
      <c r="A13" s="111"/>
      <c r="B13" s="105"/>
      <c r="C13" s="24"/>
      <c r="D13" s="27"/>
      <c r="E13" s="101"/>
    </row>
    <row r="14" spans="1:5" ht="15.75" thickBot="1" x14ac:dyDescent="0.3">
      <c r="A14" s="15"/>
      <c r="B14" s="16"/>
      <c r="C14" s="10">
        <f>SUM(C5:C12)</f>
        <v>0</v>
      </c>
      <c r="D14" s="31"/>
      <c r="E14" s="102"/>
    </row>
  </sheetData>
  <mergeCells count="7">
    <mergeCell ref="A5:A7"/>
    <mergeCell ref="B5:B7"/>
    <mergeCell ref="E5:E14"/>
    <mergeCell ref="A8:A10"/>
    <mergeCell ref="B8:B10"/>
    <mergeCell ref="A11:A13"/>
    <mergeCell ref="B11:B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A079-A44E-4487-ACAC-7280C26A4995}">
  <dimension ref="A1:E14"/>
  <sheetViews>
    <sheetView tabSelected="1" workbookViewId="0">
      <selection activeCell="B17" sqref="B17"/>
    </sheetView>
  </sheetViews>
  <sheetFormatPr defaultRowHeight="15" x14ac:dyDescent="0.25"/>
  <cols>
    <col min="1" max="1" width="27.42578125" customWidth="1"/>
    <col min="2" max="2" width="64.140625" customWidth="1"/>
    <col min="5" max="5" width="22.140625" customWidth="1"/>
  </cols>
  <sheetData>
    <row r="1" spans="1:5" x14ac:dyDescent="0.25">
      <c r="A1" t="s">
        <v>149</v>
      </c>
    </row>
    <row r="3" spans="1:5" ht="15.75" thickBot="1" x14ac:dyDescent="0.3">
      <c r="A3" t="s">
        <v>145</v>
      </c>
    </row>
    <row r="4" spans="1:5" ht="15.75" thickBot="1" x14ac:dyDescent="0.3">
      <c r="A4" s="11" t="s">
        <v>43</v>
      </c>
      <c r="B4" s="12" t="s">
        <v>44</v>
      </c>
      <c r="C4" s="23" t="s">
        <v>40</v>
      </c>
      <c r="D4" s="26" t="s">
        <v>45</v>
      </c>
      <c r="E4" s="50" t="s">
        <v>80</v>
      </c>
    </row>
    <row r="5" spans="1:5" x14ac:dyDescent="0.25">
      <c r="A5" s="109" t="s">
        <v>166</v>
      </c>
      <c r="B5" s="103" t="s">
        <v>165</v>
      </c>
      <c r="C5" s="19"/>
      <c r="D5" s="27"/>
      <c r="E5" s="100"/>
    </row>
    <row r="6" spans="1:5" x14ac:dyDescent="0.25">
      <c r="A6" s="110"/>
      <c r="B6" s="104"/>
      <c r="C6" s="19"/>
      <c r="D6" s="27"/>
      <c r="E6" s="101"/>
    </row>
    <row r="7" spans="1:5" x14ac:dyDescent="0.25">
      <c r="A7" s="111"/>
      <c r="B7" s="105"/>
      <c r="C7" s="19"/>
      <c r="D7" s="27"/>
      <c r="E7" s="101"/>
    </row>
    <row r="8" spans="1:5" x14ac:dyDescent="0.25">
      <c r="A8" s="109" t="s">
        <v>166</v>
      </c>
      <c r="B8" s="103" t="s">
        <v>165</v>
      </c>
      <c r="C8" s="19"/>
      <c r="D8" s="27"/>
      <c r="E8" s="101"/>
    </row>
    <row r="9" spans="1:5" x14ac:dyDescent="0.25">
      <c r="A9" s="110"/>
      <c r="B9" s="104"/>
      <c r="C9" s="19"/>
      <c r="D9" s="27"/>
      <c r="E9" s="101"/>
    </row>
    <row r="10" spans="1:5" x14ac:dyDescent="0.25">
      <c r="A10" s="111"/>
      <c r="B10" s="105"/>
      <c r="C10" s="19"/>
      <c r="D10" s="27"/>
      <c r="E10" s="101"/>
    </row>
    <row r="11" spans="1:5" x14ac:dyDescent="0.25">
      <c r="A11" s="109" t="s">
        <v>166</v>
      </c>
      <c r="B11" s="103" t="s">
        <v>167</v>
      </c>
      <c r="C11" s="22"/>
      <c r="D11" s="27"/>
      <c r="E11" s="101"/>
    </row>
    <row r="12" spans="1:5" x14ac:dyDescent="0.25">
      <c r="A12" s="110"/>
      <c r="B12" s="104"/>
      <c r="C12" s="22"/>
      <c r="D12" s="27"/>
      <c r="E12" s="101"/>
    </row>
    <row r="13" spans="1:5" ht="15.75" thickBot="1" x14ac:dyDescent="0.3">
      <c r="A13" s="111"/>
      <c r="B13" s="105"/>
      <c r="C13" s="24"/>
      <c r="D13" s="27"/>
      <c r="E13" s="101"/>
    </row>
    <row r="14" spans="1:5" ht="15.75" thickBot="1" x14ac:dyDescent="0.3">
      <c r="A14" s="15"/>
      <c r="B14" s="16"/>
      <c r="C14" s="10">
        <f>SUM(C5:C12)</f>
        <v>0</v>
      </c>
      <c r="D14" s="31"/>
      <c r="E14" s="102"/>
    </row>
  </sheetData>
  <mergeCells count="7">
    <mergeCell ref="A5:A7"/>
    <mergeCell ref="B5:B7"/>
    <mergeCell ref="E5:E14"/>
    <mergeCell ref="A8:A10"/>
    <mergeCell ref="B8:B10"/>
    <mergeCell ref="A11:A13"/>
    <mergeCell ref="B11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2</vt:i4>
      </vt:variant>
    </vt:vector>
  </HeadingPairs>
  <TitlesOfParts>
    <vt:vector size="14" baseType="lpstr">
      <vt:lpstr>Общая структура</vt:lpstr>
      <vt:lpstr>Форматы</vt:lpstr>
      <vt:lpstr>SensorIdentificationUdpPackage</vt:lpstr>
      <vt:lpstr>StatusUdpPackage</vt:lpstr>
      <vt:lpstr>AcceptStatusUdpPackage</vt:lpstr>
      <vt:lpstr>LogSensorUdpMessage</vt:lpstr>
      <vt:lpstr>TcpSensorDataMessage</vt:lpstr>
      <vt:lpstr>GeolocationPackage</vt:lpstr>
      <vt:lpstr>QuantumDataFile</vt:lpstr>
      <vt:lpstr>AdxlDataFile</vt:lpstr>
      <vt:lpstr>MtpDataFile</vt:lpstr>
      <vt:lpstr>NmeaDataFile</vt:lpstr>
      <vt:lpstr>'Общая структура'!Область_печати</vt:lpstr>
      <vt:lpstr>Форматы!Область_печати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 Дмитрий Александрович</dc:creator>
  <cp:lastModifiedBy>Семешкин Артём Юрьевич</cp:lastModifiedBy>
  <cp:lastPrinted>2022-11-30T06:56:00Z</cp:lastPrinted>
  <dcterms:created xsi:type="dcterms:W3CDTF">2015-06-05T18:19:34Z</dcterms:created>
  <dcterms:modified xsi:type="dcterms:W3CDTF">2023-02-03T08:07:26Z</dcterms:modified>
</cp:coreProperties>
</file>